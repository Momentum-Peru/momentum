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olas\Downloads\"/>
    </mc:Choice>
  </mc:AlternateContent>
  <xr:revisionPtr revIDLastSave="0" documentId="13_ncr:1_{F18907BE-E9D5-45D7-9968-68C96DBBDBEE}" xr6:coauthVersionLast="47" xr6:coauthVersionMax="47" xr10:uidLastSave="{00000000-0000-0000-0000-000000000000}"/>
  <bookViews>
    <workbookView xWindow="-120" yWindow="-120" windowWidth="20730" windowHeight="11040" tabRatio="796" xr2:uid="{00000000-000D-0000-FFFF-FFFF00000000}"/>
  </bookViews>
  <sheets>
    <sheet name="PLANILLA" sheetId="3" r:id="rId1"/>
    <sheet name="COMISIONES" sheetId="26" state="hidden" r:id="rId2"/>
    <sheet name="DESCANZO MEDICO" sheetId="32" state="hidden" r:id="rId3"/>
    <sheet name="VACACIONES" sheetId="30" state="hidden" r:id="rId4"/>
    <sheet name="ADELANTOS" sheetId="28" state="hidden" r:id="rId5"/>
    <sheet name="REINTEGROS" sheetId="34" state="hidden" r:id="rId6"/>
    <sheet name="PRESTAMOS" sheetId="23" state="hidden" r:id="rId7"/>
  </sheets>
  <definedNames>
    <definedName name="_xlnm._FilterDatabase" localSheetId="4" hidden="1">ADELANTOS!$A$7:$J$7</definedName>
    <definedName name="_xlnm._FilterDatabase" localSheetId="1" hidden="1">COMISIONES!$A$7:$J$7</definedName>
    <definedName name="_xlnm._FilterDatabase" localSheetId="0" hidden="1">PLANILLA!$A$8:$Y$15</definedName>
    <definedName name="_xlnm._FilterDatabase" localSheetId="5" hidden="1">REINTEGROS!$A$7:$L$7</definedName>
    <definedName name="_xlnm._FilterDatabase" localSheetId="3" hidden="1">VACACIONES!$A$7:$Q$7</definedName>
    <definedName name="ADELANTOS">ADELANTOS!$C$8:$J$19</definedName>
    <definedName name="_xlnm.Print_Area" localSheetId="4">ADELANTOS!$A$1:$J$22</definedName>
    <definedName name="_xlnm.Print_Area" localSheetId="0">PLANILLA!$A$1:$Y$17</definedName>
    <definedName name="ASISTENCIA">#REF!</definedName>
    <definedName name="COMISIONES">COMISIONES!$C$8:$J$19</definedName>
    <definedName name="D_MEDICOS">'DESCANZO MEDICO'!$C$8:$N$20</definedName>
    <definedName name="DATAG">#REF!</definedName>
    <definedName name="GRATI">#REF!</definedName>
    <definedName name="QUINCENA1">#REF!</definedName>
    <definedName name="QUINCENA2">#REF!</definedName>
    <definedName name="REINTEGROS">REINTEGROS!$C$8:$L$19</definedName>
    <definedName name="REMUNERACIONES">#REF!</definedName>
    <definedName name="TABLA1">#REF!</definedName>
    <definedName name="TABLA2">#REF!</definedName>
    <definedName name="TABLA3">#REF!</definedName>
    <definedName name="VACACIONES" localSheetId="3">VACACIONES!$C$8:$Q$20</definedName>
  </definedNames>
  <calcPr calcId="191029"/>
</workbook>
</file>

<file path=xl/calcChain.xml><?xml version="1.0" encoding="utf-8"?>
<calcChain xmlns="http://schemas.openxmlformats.org/spreadsheetml/2006/main">
  <c r="M21" i="3" l="1"/>
  <c r="J21" i="3"/>
  <c r="U21" i="3"/>
  <c r="K21" i="3"/>
  <c r="P21" i="3"/>
  <c r="Q21" i="3"/>
  <c r="R21" i="3"/>
  <c r="T21" i="3"/>
  <c r="W10" i="3"/>
  <c r="W12" i="3"/>
  <c r="Y10" i="3"/>
  <c r="Y11" i="3"/>
  <c r="Y12" i="3"/>
  <c r="Y13" i="3"/>
  <c r="Y14" i="3"/>
  <c r="Y15" i="3"/>
  <c r="Y16" i="3"/>
  <c r="Y17" i="3"/>
  <c r="Y18" i="3"/>
  <c r="Y19" i="3"/>
  <c r="Y20" i="3"/>
  <c r="S10" i="3"/>
  <c r="V10" i="3" s="1"/>
  <c r="S11" i="3"/>
  <c r="V11" i="3" s="1"/>
  <c r="S12" i="3"/>
  <c r="V12" i="3" s="1"/>
  <c r="S13" i="3"/>
  <c r="V13" i="3" s="1"/>
  <c r="S14" i="3"/>
  <c r="V14" i="3" s="1"/>
  <c r="S15" i="3"/>
  <c r="V15" i="3" s="1"/>
  <c r="S16" i="3"/>
  <c r="V16" i="3" s="1"/>
  <c r="S17" i="3"/>
  <c r="V17" i="3" s="1"/>
  <c r="S18" i="3"/>
  <c r="V18" i="3" s="1"/>
  <c r="S19" i="3"/>
  <c r="V19" i="3" s="1"/>
  <c r="S20" i="3"/>
  <c r="V20" i="3" s="1"/>
  <c r="S9" i="3"/>
  <c r="S21" i="3" s="1"/>
  <c r="N16" i="3"/>
  <c r="N20" i="3"/>
  <c r="N19" i="3"/>
  <c r="N18" i="3"/>
  <c r="N17" i="3"/>
  <c r="L10" i="3"/>
  <c r="L11" i="3"/>
  <c r="W11" i="3" s="1"/>
  <c r="L12" i="3"/>
  <c r="L13" i="3"/>
  <c r="W13" i="3" s="1"/>
  <c r="L14" i="3"/>
  <c r="W14" i="3" s="1"/>
  <c r="L15" i="3"/>
  <c r="W15" i="3" s="1"/>
  <c r="L16" i="3"/>
  <c r="W16" i="3" s="1"/>
  <c r="L17" i="3"/>
  <c r="O17" i="3" s="1"/>
  <c r="L18" i="3"/>
  <c r="O18" i="3" s="1"/>
  <c r="L19" i="3"/>
  <c r="O19" i="3" s="1"/>
  <c r="L20" i="3"/>
  <c r="L9" i="3"/>
  <c r="L21" i="3" l="1"/>
  <c r="O16" i="3"/>
  <c r="O20" i="3"/>
  <c r="W9" i="3"/>
  <c r="W17" i="3"/>
  <c r="W19" i="3"/>
  <c r="W20" i="3"/>
  <c r="W18" i="3"/>
  <c r="N10" i="3"/>
  <c r="O10" i="3" s="1"/>
  <c r="W21" i="3" l="1"/>
  <c r="N9" i="3" l="1"/>
  <c r="O9" i="3" l="1"/>
  <c r="N14" i="3"/>
  <c r="O14" i="3" s="1"/>
  <c r="M9" i="32" l="1"/>
  <c r="M10" i="32"/>
  <c r="M11" i="32"/>
  <c r="M12" i="32"/>
  <c r="M13" i="32"/>
  <c r="M14" i="32"/>
  <c r="M15" i="32"/>
  <c r="M16" i="32"/>
  <c r="M17" i="32"/>
  <c r="M18" i="32"/>
  <c r="M19" i="32"/>
  <c r="M8" i="32"/>
  <c r="W12" i="23" l="1"/>
  <c r="W13" i="23"/>
  <c r="W14" i="23"/>
  <c r="W15" i="23"/>
  <c r="W16" i="23"/>
  <c r="W17" i="23"/>
  <c r="W18" i="23"/>
  <c r="W19" i="23"/>
  <c r="W20" i="23"/>
  <c r="W21" i="23"/>
  <c r="W22" i="23"/>
  <c r="W11" i="23"/>
  <c r="M14" i="30" l="1"/>
  <c r="L13" i="32"/>
  <c r="K8" i="32" l="1"/>
  <c r="L21" i="34" l="1"/>
  <c r="H19" i="34"/>
  <c r="G19" i="34"/>
  <c r="F19" i="34"/>
  <c r="E19" i="34"/>
  <c r="H18" i="34"/>
  <c r="G18" i="34"/>
  <c r="F18" i="34"/>
  <c r="E18" i="34"/>
  <c r="H17" i="34"/>
  <c r="G17" i="34"/>
  <c r="F17" i="34"/>
  <c r="E17" i="34"/>
  <c r="H16" i="34"/>
  <c r="G16" i="34"/>
  <c r="F16" i="34"/>
  <c r="E16" i="34"/>
  <c r="H15" i="34"/>
  <c r="G15" i="34"/>
  <c r="F15" i="34"/>
  <c r="E15" i="34"/>
  <c r="H14" i="34"/>
  <c r="G14" i="34"/>
  <c r="F14" i="34"/>
  <c r="E14" i="34"/>
  <c r="H13" i="34"/>
  <c r="G13" i="34"/>
  <c r="F13" i="34"/>
  <c r="E13" i="34"/>
  <c r="H12" i="34"/>
  <c r="G12" i="34"/>
  <c r="F12" i="34"/>
  <c r="E12" i="34"/>
  <c r="H11" i="34"/>
  <c r="G11" i="34"/>
  <c r="F11" i="34"/>
  <c r="E11" i="34"/>
  <c r="H10" i="34"/>
  <c r="G10" i="34"/>
  <c r="F10" i="34"/>
  <c r="E10" i="34"/>
  <c r="H9" i="34"/>
  <c r="G9" i="34"/>
  <c r="F9" i="34"/>
  <c r="E9" i="34"/>
  <c r="H8" i="34"/>
  <c r="G8" i="34"/>
  <c r="F8" i="34"/>
  <c r="E8" i="34"/>
  <c r="N11" i="3"/>
  <c r="N12" i="3"/>
  <c r="O12" i="3" s="1"/>
  <c r="N13" i="3"/>
  <c r="O13" i="3" s="1"/>
  <c r="N15" i="3"/>
  <c r="O15" i="3" s="1"/>
  <c r="H19" i="28"/>
  <c r="G19" i="28"/>
  <c r="F19" i="28"/>
  <c r="E19" i="28"/>
  <c r="H18" i="28"/>
  <c r="G18" i="28"/>
  <c r="F18" i="28"/>
  <c r="E18" i="28"/>
  <c r="H17" i="28"/>
  <c r="G17" i="28"/>
  <c r="F17" i="28"/>
  <c r="E17" i="28"/>
  <c r="H16" i="28"/>
  <c r="G16" i="28"/>
  <c r="F16" i="28"/>
  <c r="E16" i="28"/>
  <c r="H15" i="28"/>
  <c r="G15" i="28"/>
  <c r="F15" i="28"/>
  <c r="E15" i="28"/>
  <c r="H14" i="28"/>
  <c r="G14" i="28"/>
  <c r="F14" i="28"/>
  <c r="E14" i="28"/>
  <c r="H13" i="28"/>
  <c r="G13" i="28"/>
  <c r="F13" i="28"/>
  <c r="E13" i="28"/>
  <c r="H12" i="28"/>
  <c r="G12" i="28"/>
  <c r="F12" i="28"/>
  <c r="E12" i="28"/>
  <c r="H11" i="28"/>
  <c r="G11" i="28"/>
  <c r="F11" i="28"/>
  <c r="E11" i="28"/>
  <c r="H10" i="28"/>
  <c r="G10" i="28"/>
  <c r="F10" i="28"/>
  <c r="E10" i="28"/>
  <c r="H9" i="28"/>
  <c r="G9" i="28"/>
  <c r="F9" i="28"/>
  <c r="E9" i="28"/>
  <c r="H8" i="28"/>
  <c r="G8" i="28"/>
  <c r="F8" i="28"/>
  <c r="E8" i="28"/>
  <c r="E8" i="30"/>
  <c r="F8" i="30"/>
  <c r="G8" i="30"/>
  <c r="H8" i="30"/>
  <c r="E9" i="30"/>
  <c r="F9" i="30"/>
  <c r="G9" i="30"/>
  <c r="H9" i="30"/>
  <c r="E10" i="30"/>
  <c r="F10" i="30"/>
  <c r="G10" i="30"/>
  <c r="H10" i="30"/>
  <c r="E11" i="30"/>
  <c r="F11" i="30"/>
  <c r="G11" i="30"/>
  <c r="H11" i="30"/>
  <c r="E12" i="30"/>
  <c r="F12" i="30"/>
  <c r="G12" i="30"/>
  <c r="H12" i="30"/>
  <c r="E13" i="30"/>
  <c r="F13" i="30"/>
  <c r="G13" i="30"/>
  <c r="H13" i="30"/>
  <c r="E14" i="30"/>
  <c r="F14" i="30"/>
  <c r="G14" i="30"/>
  <c r="H14" i="30"/>
  <c r="E15" i="30"/>
  <c r="F15" i="30"/>
  <c r="G15" i="30"/>
  <c r="H15" i="30"/>
  <c r="E16" i="30"/>
  <c r="F16" i="30"/>
  <c r="G16" i="30"/>
  <c r="H16" i="30"/>
  <c r="E17" i="30"/>
  <c r="F17" i="30"/>
  <c r="G17" i="30"/>
  <c r="H17" i="30"/>
  <c r="E18" i="30"/>
  <c r="F18" i="30"/>
  <c r="G18" i="30"/>
  <c r="H18" i="30"/>
  <c r="E19" i="30"/>
  <c r="F19" i="30"/>
  <c r="G19" i="30"/>
  <c r="H19" i="30"/>
  <c r="L14" i="30"/>
  <c r="N14" i="30" s="1"/>
  <c r="I9" i="30"/>
  <c r="I10" i="30"/>
  <c r="I11" i="30"/>
  <c r="I12" i="30"/>
  <c r="I13" i="30"/>
  <c r="I14" i="30"/>
  <c r="I15" i="30"/>
  <c r="I16" i="30"/>
  <c r="I17" i="30"/>
  <c r="I18" i="30"/>
  <c r="I19" i="30"/>
  <c r="I8" i="30"/>
  <c r="L9" i="30"/>
  <c r="L10" i="30"/>
  <c r="L11" i="30"/>
  <c r="L12" i="30"/>
  <c r="L13" i="30"/>
  <c r="L15" i="30"/>
  <c r="L16" i="30"/>
  <c r="L17" i="30"/>
  <c r="L18" i="30"/>
  <c r="L19" i="30"/>
  <c r="L8" i="30"/>
  <c r="M15" i="30"/>
  <c r="M19" i="30"/>
  <c r="M18" i="30"/>
  <c r="M17" i="30"/>
  <c r="M16" i="30"/>
  <c r="M13" i="30"/>
  <c r="M12" i="30"/>
  <c r="M11" i="30"/>
  <c r="M10" i="30"/>
  <c r="M9" i="30"/>
  <c r="M8" i="30"/>
  <c r="L9" i="32"/>
  <c r="L10" i="32"/>
  <c r="L11" i="32"/>
  <c r="L12" i="32"/>
  <c r="L14" i="32"/>
  <c r="L15" i="32"/>
  <c r="L16" i="32"/>
  <c r="L17" i="32"/>
  <c r="L18" i="32"/>
  <c r="L19" i="32"/>
  <c r="L8" i="32"/>
  <c r="N8" i="32" s="1"/>
  <c r="H19" i="32"/>
  <c r="G19" i="32"/>
  <c r="F19" i="32"/>
  <c r="E19" i="32"/>
  <c r="H18" i="32"/>
  <c r="G18" i="32"/>
  <c r="F18" i="32"/>
  <c r="E18" i="32"/>
  <c r="H17" i="32"/>
  <c r="G17" i="32"/>
  <c r="F17" i="32"/>
  <c r="E17" i="32"/>
  <c r="H16" i="32"/>
  <c r="G16" i="32"/>
  <c r="F16" i="32"/>
  <c r="E16" i="32"/>
  <c r="H15" i="32"/>
  <c r="G15" i="32"/>
  <c r="F15" i="32"/>
  <c r="E15" i="32"/>
  <c r="H14" i="32"/>
  <c r="G14" i="32"/>
  <c r="F14" i="32"/>
  <c r="E14" i="32"/>
  <c r="H13" i="32"/>
  <c r="G13" i="32"/>
  <c r="F13" i="32"/>
  <c r="E13" i="32"/>
  <c r="H12" i="32"/>
  <c r="G12" i="32"/>
  <c r="F12" i="32"/>
  <c r="E12" i="32"/>
  <c r="H11" i="32"/>
  <c r="G11" i="32"/>
  <c r="F11" i="32"/>
  <c r="E11" i="32"/>
  <c r="H10" i="32"/>
  <c r="G10" i="32"/>
  <c r="F10" i="32"/>
  <c r="E10" i="32"/>
  <c r="H9" i="32"/>
  <c r="G9" i="32"/>
  <c r="F9" i="32"/>
  <c r="E9" i="32"/>
  <c r="H8" i="32"/>
  <c r="G8" i="32"/>
  <c r="F8" i="32"/>
  <c r="E8" i="32"/>
  <c r="H19" i="26"/>
  <c r="G19" i="26"/>
  <c r="F19" i="26"/>
  <c r="H18" i="26"/>
  <c r="G18" i="26"/>
  <c r="F18" i="26"/>
  <c r="H17" i="26"/>
  <c r="G17" i="26"/>
  <c r="F17" i="26"/>
  <c r="H16" i="26"/>
  <c r="G16" i="26"/>
  <c r="F16" i="26"/>
  <c r="H15" i="26"/>
  <c r="G15" i="26"/>
  <c r="F15" i="26"/>
  <c r="H14" i="26"/>
  <c r="G14" i="26"/>
  <c r="F14" i="26"/>
  <c r="H13" i="26"/>
  <c r="G13" i="26"/>
  <c r="F13" i="26"/>
  <c r="H12" i="26"/>
  <c r="G12" i="26"/>
  <c r="F12" i="26"/>
  <c r="H11" i="26"/>
  <c r="G11" i="26"/>
  <c r="F11" i="26"/>
  <c r="H10" i="26"/>
  <c r="G10" i="26"/>
  <c r="F10" i="26"/>
  <c r="H9" i="26"/>
  <c r="G9" i="26"/>
  <c r="F9" i="26"/>
  <c r="H8" i="26"/>
  <c r="G8" i="26"/>
  <c r="F8" i="26"/>
  <c r="E9" i="26"/>
  <c r="E10" i="26"/>
  <c r="E11" i="26"/>
  <c r="E12" i="26"/>
  <c r="E13" i="26"/>
  <c r="E14" i="26"/>
  <c r="E15" i="26"/>
  <c r="E16" i="26"/>
  <c r="E17" i="26"/>
  <c r="E18" i="26"/>
  <c r="E19" i="26"/>
  <c r="E8" i="26"/>
  <c r="J21" i="26"/>
  <c r="I21" i="26"/>
  <c r="B12" i="23"/>
  <c r="C12" i="23"/>
  <c r="D12" i="23"/>
  <c r="E12" i="23"/>
  <c r="B13" i="23"/>
  <c r="C13" i="23"/>
  <c r="D13" i="23"/>
  <c r="E13" i="23"/>
  <c r="B14" i="23"/>
  <c r="C14" i="23"/>
  <c r="D14" i="23"/>
  <c r="E14" i="23"/>
  <c r="B15" i="23"/>
  <c r="C15" i="23"/>
  <c r="D15" i="23"/>
  <c r="E15" i="23"/>
  <c r="B16" i="23"/>
  <c r="C16" i="23"/>
  <c r="D16" i="23"/>
  <c r="E16" i="23"/>
  <c r="B17" i="23"/>
  <c r="C17" i="23"/>
  <c r="D17" i="23"/>
  <c r="E17" i="23"/>
  <c r="B18" i="23"/>
  <c r="C18" i="23"/>
  <c r="D18" i="23"/>
  <c r="E18" i="23"/>
  <c r="B19" i="23"/>
  <c r="C19" i="23"/>
  <c r="D19" i="23"/>
  <c r="E19" i="23"/>
  <c r="B20" i="23"/>
  <c r="C20" i="23"/>
  <c r="D20" i="23"/>
  <c r="E20" i="23"/>
  <c r="B21" i="23"/>
  <c r="C21" i="23"/>
  <c r="D21" i="23"/>
  <c r="E21" i="23"/>
  <c r="B22" i="23"/>
  <c r="C22" i="23"/>
  <c r="D22" i="23"/>
  <c r="E22" i="23"/>
  <c r="E11" i="23"/>
  <c r="D11" i="23"/>
  <c r="C11" i="23"/>
  <c r="B11" i="23"/>
  <c r="K19" i="32"/>
  <c r="K18" i="32"/>
  <c r="K16" i="32"/>
  <c r="K15" i="32"/>
  <c r="K14" i="32"/>
  <c r="K13" i="32"/>
  <c r="N13" i="32" s="1"/>
  <c r="K12" i="32"/>
  <c r="K11" i="32"/>
  <c r="K10" i="32"/>
  <c r="J22" i="28"/>
  <c r="X11" i="23"/>
  <c r="X12" i="23"/>
  <c r="X13" i="23"/>
  <c r="X14" i="23"/>
  <c r="X15" i="23"/>
  <c r="X16" i="23"/>
  <c r="X17" i="23"/>
  <c r="X18" i="23"/>
  <c r="X20" i="23"/>
  <c r="X21" i="23"/>
  <c r="X22" i="23"/>
  <c r="O11" i="3" l="1"/>
  <c r="O21" i="3" s="1"/>
  <c r="N21" i="3"/>
  <c r="N12" i="32"/>
  <c r="N15" i="32"/>
  <c r="N11" i="32"/>
  <c r="N10" i="32"/>
  <c r="N14" i="32"/>
  <c r="N19" i="32"/>
  <c r="N18" i="32"/>
  <c r="N16" i="32"/>
  <c r="K17" i="32"/>
  <c r="N17" i="32" s="1"/>
  <c r="K9" i="32"/>
  <c r="N9" i="32" s="1"/>
  <c r="X19" i="23"/>
  <c r="N11" i="30"/>
  <c r="N15" i="30"/>
  <c r="N12" i="30"/>
  <c r="N13" i="30"/>
  <c r="N16" i="30"/>
  <c r="N17" i="30"/>
  <c r="N18" i="30"/>
  <c r="O18" i="30" s="1"/>
  <c r="N19" i="30"/>
  <c r="N10" i="30"/>
  <c r="P10" i="30" s="1"/>
  <c r="N8" i="30"/>
  <c r="N9" i="30"/>
  <c r="P9" i="30" s="1"/>
  <c r="O14" i="30"/>
  <c r="P14" i="30"/>
  <c r="M21" i="30"/>
  <c r="P15" i="30" l="1"/>
  <c r="O12" i="30"/>
  <c r="P17" i="30"/>
  <c r="O15" i="30"/>
  <c r="O11" i="30"/>
  <c r="P11" i="30"/>
  <c r="P12" i="30"/>
  <c r="Q12" i="30" s="1"/>
  <c r="O16" i="30"/>
  <c r="P13" i="30"/>
  <c r="P16" i="30"/>
  <c r="O13" i="30"/>
  <c r="Q14" i="30"/>
  <c r="P19" i="30"/>
  <c r="O19" i="30"/>
  <c r="P18" i="30"/>
  <c r="Q18" i="30" s="1"/>
  <c r="O17" i="30"/>
  <c r="O9" i="30"/>
  <c r="Q9" i="30" s="1"/>
  <c r="O10" i="30"/>
  <c r="Q10" i="30" s="1"/>
  <c r="P8" i="30"/>
  <c r="O8" i="30"/>
  <c r="N21" i="30"/>
  <c r="N22" i="32"/>
  <c r="Q15" i="30" l="1"/>
  <c r="Q17" i="30"/>
  <c r="Q11" i="30"/>
  <c r="Q8" i="30"/>
  <c r="Q13" i="30"/>
  <c r="Q16" i="30"/>
  <c r="Q19" i="30"/>
  <c r="P21" i="30"/>
  <c r="O21" i="30"/>
  <c r="Q21" i="30" l="1"/>
  <c r="Y9" i="3" l="1"/>
  <c r="X21" i="3"/>
  <c r="V9" i="3" l="1"/>
  <c r="V21" i="3" s="1"/>
  <c r="Y21" i="3" l="1"/>
</calcChain>
</file>

<file path=xl/sharedStrings.xml><?xml version="1.0" encoding="utf-8"?>
<sst xmlns="http://schemas.openxmlformats.org/spreadsheetml/2006/main" count="356" uniqueCount="138">
  <si>
    <t>FONDO</t>
  </si>
  <si>
    <t xml:space="preserve">NOMBRES </t>
  </si>
  <si>
    <t>CARGO</t>
  </si>
  <si>
    <t>DNI/C.EXT</t>
  </si>
  <si>
    <t>FECHA INGRESO</t>
  </si>
  <si>
    <t>SUELDO</t>
  </si>
  <si>
    <t>COD.</t>
  </si>
  <si>
    <t>APELLIDOS</t>
  </si>
  <si>
    <t>TOT ING. EN SOLES</t>
  </si>
  <si>
    <t>DESCUENTOS TRABAJADOR</t>
  </si>
  <si>
    <t>SALDO PAG. SOLES</t>
  </si>
  <si>
    <t>APORT.  EMPLEADOR</t>
  </si>
  <si>
    <t>SEG.</t>
  </si>
  <si>
    <t>COMISIÓN</t>
  </si>
  <si>
    <t>TOT. AFP</t>
  </si>
  <si>
    <t>5TA CAT</t>
  </si>
  <si>
    <t>TOT. DSCTS</t>
  </si>
  <si>
    <t xml:space="preserve">ESSALUD </t>
  </si>
  <si>
    <t>T. APORTES</t>
  </si>
  <si>
    <t>DIAS</t>
  </si>
  <si>
    <t>TRABAJADAS</t>
  </si>
  <si>
    <t>001</t>
  </si>
  <si>
    <t>002</t>
  </si>
  <si>
    <t>005</t>
  </si>
  <si>
    <t>008</t>
  </si>
  <si>
    <t>ORDEN</t>
  </si>
  <si>
    <t>ONP/AFP</t>
  </si>
  <si>
    <t>DATOS DEL TRABAJADOR</t>
  </si>
  <si>
    <t>FECHA DE INGRESO</t>
  </si>
  <si>
    <t>N° DIAS</t>
  </si>
  <si>
    <t>PERCIBIR</t>
  </si>
  <si>
    <t>INGRESOS DEL TRABAJADOR AFECTOS</t>
  </si>
  <si>
    <t>TOTAL</t>
  </si>
  <si>
    <t>INGRESOS</t>
  </si>
  <si>
    <t>AFECTOS</t>
  </si>
  <si>
    <t xml:space="preserve">                                                                        </t>
  </si>
  <si>
    <t xml:space="preserve">N° </t>
  </si>
  <si>
    <t>DNI</t>
  </si>
  <si>
    <t>TOTAL GENERAL</t>
  </si>
  <si>
    <t>FECHA PRESTAMO</t>
  </si>
  <si>
    <t>IMPORTE</t>
  </si>
  <si>
    <t>CUOTAS</t>
  </si>
  <si>
    <t>1 RA</t>
  </si>
  <si>
    <t>2 DA</t>
  </si>
  <si>
    <t>ENERO</t>
  </si>
  <si>
    <t>FEBRERO</t>
  </si>
  <si>
    <t>MARZO</t>
  </si>
  <si>
    <t>DSCTO</t>
  </si>
  <si>
    <t>SALDO</t>
  </si>
  <si>
    <t>Tipo DOC</t>
  </si>
  <si>
    <t>N° DNI</t>
  </si>
  <si>
    <t>NOMBRES</t>
  </si>
  <si>
    <t>FEBRERO DE 2025</t>
  </si>
  <si>
    <t>COMISION DISTRIBUCION</t>
  </si>
  <si>
    <t>COMISION VENTAS</t>
  </si>
  <si>
    <t>FECHA DE ADELANTO</t>
  </si>
  <si>
    <t>FECHA DE INICIO</t>
  </si>
  <si>
    <t>FECHA DE TERMINO</t>
  </si>
  <si>
    <t>PLANILLA DE VACACIONES DE PERSONAL</t>
  </si>
  <si>
    <t>PRIMERA</t>
  </si>
  <si>
    <t>QUINCENA</t>
  </si>
  <si>
    <t>PLANILLA DE ADELANTOS AL PERSONAL</t>
  </si>
  <si>
    <t>PLANILLA DE COMISIONES DE PERSONAL VENTAS Y DISTRIBUCION</t>
  </si>
  <si>
    <t>AFP 10%</t>
  </si>
  <si>
    <t>COMISION 1.37%</t>
  </si>
  <si>
    <t>REMUNERACION CALCULO</t>
  </si>
  <si>
    <t>MES:</t>
  </si>
  <si>
    <t>003</t>
  </si>
  <si>
    <t>004</t>
  </si>
  <si>
    <t>006</t>
  </si>
  <si>
    <t>007</t>
  </si>
  <si>
    <t>009</t>
  </si>
  <si>
    <t>010</t>
  </si>
  <si>
    <t>011</t>
  </si>
  <si>
    <t>012</t>
  </si>
  <si>
    <t>FECHA</t>
  </si>
  <si>
    <t>FECHA INICIO</t>
  </si>
  <si>
    <t>FECHA TERMINO</t>
  </si>
  <si>
    <t>TOTAL DIAS</t>
  </si>
  <si>
    <t>A PAGAR</t>
  </si>
  <si>
    <t>REMUNERACION BASICA</t>
  </si>
  <si>
    <t>PLANILLA DE DE CONTROL DESCANZOS MEDICOS MENSUAL</t>
  </si>
  <si>
    <t>REGIMEN PENSIONARIO</t>
  </si>
  <si>
    <t>PERIODO</t>
  </si>
  <si>
    <t>CONCEPTO</t>
  </si>
  <si>
    <t>ABRIL</t>
  </si>
  <si>
    <t>ABRIL DE 2025</t>
  </si>
  <si>
    <t>INICIO</t>
  </si>
  <si>
    <t>MONTO</t>
  </si>
  <si>
    <t>MAYO</t>
  </si>
  <si>
    <t>JUNIO</t>
  </si>
  <si>
    <t>BONIFICACION BASICA</t>
  </si>
  <si>
    <t>INTEGRA</t>
  </si>
  <si>
    <t>GERENTE GENERAL</t>
  </si>
  <si>
    <t>RUC: 20605451048</t>
  </si>
  <si>
    <t>De: SAN ALEJANDRO LOGISTIC GROUP S.A.C.</t>
  </si>
  <si>
    <t>ASIST. ADMINISTRATIVO</t>
  </si>
  <si>
    <t>LOGISTICA</t>
  </si>
  <si>
    <t>HABITAT</t>
  </si>
  <si>
    <t>08544310</t>
  </si>
  <si>
    <t>ARQUITECTO</t>
  </si>
  <si>
    <t>RAZÓN SOCIAL : TECMEING PERU S.A.C.</t>
  </si>
  <si>
    <t>RUC: 20548168393</t>
  </si>
  <si>
    <t>JEFE DE PRODUCCION</t>
  </si>
  <si>
    <t>AYUDANTE</t>
  </si>
  <si>
    <t>OFICIAL MONTAJISTA</t>
  </si>
  <si>
    <t>GERENTE DE OPERACIONES</t>
  </si>
  <si>
    <t>JOSE LUIS</t>
  </si>
  <si>
    <t>ELDER JASINTO</t>
  </si>
  <si>
    <t>07366448</t>
  </si>
  <si>
    <t>PETTER MARCEL</t>
  </si>
  <si>
    <t>H.EXTRAS</t>
  </si>
  <si>
    <t>NOLASCO ESTELA</t>
  </si>
  <si>
    <t xml:space="preserve">SERGIO </t>
  </si>
  <si>
    <t>CUEVA ROSALES</t>
  </si>
  <si>
    <t>DAVID ANGEL</t>
  </si>
  <si>
    <t>NOLASCO CHIPANA</t>
  </si>
  <si>
    <t>NILDA  NICOLE</t>
  </si>
  <si>
    <t>TORRES ESTELA</t>
  </si>
  <si>
    <t xml:space="preserve">BELTRAN </t>
  </si>
  <si>
    <t>CHIPANA LLACCHUA</t>
  </si>
  <si>
    <t xml:space="preserve">ROSA </t>
  </si>
  <si>
    <t xml:space="preserve">ALDO </t>
  </si>
  <si>
    <t xml:space="preserve">YERLIN </t>
  </si>
  <si>
    <t>CASIMIRO HUAMAN</t>
  </si>
  <si>
    <t>HUGO BENIGNO</t>
  </si>
  <si>
    <t>TOTAL INGRESOS INAFECTOS</t>
  </si>
  <si>
    <t>NO AFECTOS</t>
  </si>
  <si>
    <t>LUCAS  ANDRADE</t>
  </si>
  <si>
    <t>PRIMA</t>
  </si>
  <si>
    <t>TELLO  OSTOS</t>
  </si>
  <si>
    <t>CHOFER Y ALMACENERO</t>
  </si>
  <si>
    <t>MENDOZA  ANTON</t>
  </si>
  <si>
    <t>JORDAN POLOSEFER</t>
  </si>
  <si>
    <t>INGENIERO SSOMA</t>
  </si>
  <si>
    <t>TORRES  ANGULO</t>
  </si>
  <si>
    <t>AFP DESCONTADO MES ANTERIOR</t>
  </si>
  <si>
    <t>PLANILLA DE REMUNERACIONES 1RA QUINCENA NOVIEMBRE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</si>
</sst>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 * #,##0.00_ ;_ * \-#,##0.00_ ;_ * &quot;-&quot;??_ ;_ @_ "/>
    <numFmt numFmtId="165" formatCode="_ * #,##0_ ;_ * \-#,##0_ ;_ * &quot;-&quot;??_ ;_ @_ 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 Narrow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Arial"/>
      <family val="2"/>
    </font>
    <font>
      <sz val="9"/>
      <name val="Calibri"/>
      <family val="2"/>
      <scheme val="minor"/>
    </font>
    <font>
      <sz val="10"/>
      <color rgb="FFFF0000"/>
      <name val="Arial"/>
      <family val="2"/>
    </font>
    <font>
      <b/>
      <sz val="8.5"/>
      <color theme="0"/>
      <name val="Arial Narrow"/>
      <family val="2"/>
    </font>
    <font>
      <sz val="8"/>
      <color rgb="FFFF0000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1"/>
      <color theme="1"/>
      <name val="Arial"/>
      <family val="2"/>
    </font>
    <font>
      <b/>
      <sz val="9"/>
      <color theme="0"/>
      <name val="Arial"/>
      <family val="2"/>
    </font>
    <font>
      <b/>
      <sz val="14"/>
      <color theme="0"/>
      <name val="Calibri"/>
      <family val="2"/>
      <scheme val="minor"/>
    </font>
    <font>
      <b/>
      <sz val="10"/>
      <color theme="0"/>
      <name val="Arial Narrow"/>
      <family val="2"/>
    </font>
    <font>
      <sz val="10"/>
      <color indexed="8"/>
      <name val="MS Sans Serif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</borders>
  <cellStyleXfs count="8">
    <xf numFmtId="0" fontId="0" fillId="0" borderId="0"/>
    <xf numFmtId="0" fontId="8" fillId="0" borderId="0" applyFont="0" applyFill="0" applyAlignment="0"/>
    <xf numFmtId="0" fontId="7" fillId="0" borderId="0" applyNumberFormat="0" applyFill="0" applyBorder="0" applyAlignment="0" applyProtection="0">
      <alignment vertical="top"/>
      <protection locked="0"/>
    </xf>
    <xf numFmtId="164" fontId="9" fillId="0" borderId="0" applyFont="0" applyFill="0" applyBorder="0" applyAlignment="0" applyProtection="0"/>
    <xf numFmtId="0" fontId="13" fillId="0" borderId="0"/>
    <xf numFmtId="0" fontId="11" fillId="0" borderId="0">
      <alignment vertical="top"/>
    </xf>
    <xf numFmtId="0" fontId="26" fillId="0" borderId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0" fillId="2" borderId="0" xfId="0" applyFill="1"/>
    <xf numFmtId="0" fontId="2" fillId="2" borderId="0" xfId="0" applyFont="1" applyFill="1"/>
    <xf numFmtId="4" fontId="0" fillId="2" borderId="0" xfId="0" applyNumberFormat="1" applyFill="1"/>
    <xf numFmtId="0" fontId="14" fillId="2" borderId="0" xfId="0" applyFont="1" applyFill="1"/>
    <xf numFmtId="0" fontId="5" fillId="0" borderId="0" xfId="0" applyFont="1" applyAlignment="1">
      <alignment vertical="center"/>
    </xf>
    <xf numFmtId="0" fontId="15" fillId="2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7" fillId="2" borderId="0" xfId="2" applyFill="1" applyAlignment="1" applyProtection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0" borderId="2" xfId="0" applyFont="1" applyBorder="1"/>
    <xf numFmtId="4" fontId="4" fillId="5" borderId="2" xfId="0" applyNumberFormat="1" applyFont="1" applyFill="1" applyBorder="1"/>
    <xf numFmtId="0" fontId="5" fillId="0" borderId="0" xfId="0" applyFont="1"/>
    <xf numFmtId="4" fontId="4" fillId="6" borderId="2" xfId="0" applyNumberFormat="1" applyFont="1" applyFill="1" applyBorder="1"/>
    <xf numFmtId="14" fontId="16" fillId="2" borderId="2" xfId="0" applyNumberFormat="1" applyFont="1" applyFill="1" applyBorder="1" applyAlignment="1">
      <alignment horizontal="center" vertical="center"/>
    </xf>
    <xf numFmtId="164" fontId="0" fillId="0" borderId="0" xfId="3" applyFont="1"/>
    <xf numFmtId="165" fontId="0" fillId="0" borderId="0" xfId="3" applyNumberFormat="1" applyFont="1"/>
    <xf numFmtId="164" fontId="12" fillId="2" borderId="0" xfId="3" applyFont="1" applyFill="1"/>
    <xf numFmtId="164" fontId="5" fillId="2" borderId="3" xfId="3" applyFont="1" applyFill="1" applyBorder="1"/>
    <xf numFmtId="164" fontId="17" fillId="0" borderId="0" xfId="3" applyFont="1"/>
    <xf numFmtId="0" fontId="0" fillId="0" borderId="0" xfId="0" applyAlignment="1">
      <alignment horizontal="left"/>
    </xf>
    <xf numFmtId="49" fontId="16" fillId="2" borderId="2" xfId="0" applyNumberFormat="1" applyFont="1" applyFill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18" fillId="3" borderId="14" xfId="0" applyFont="1" applyFill="1" applyBorder="1" applyAlignment="1">
      <alignment vertical="center" wrapText="1"/>
    </xf>
    <xf numFmtId="0" fontId="18" fillId="3" borderId="14" xfId="0" applyFont="1" applyFill="1" applyBorder="1" applyAlignment="1">
      <alignment horizontal="center" vertical="center" wrapText="1"/>
    </xf>
    <xf numFmtId="14" fontId="6" fillId="0" borderId="4" xfId="0" applyNumberFormat="1" applyFont="1" applyBorder="1" applyAlignment="1">
      <alignment horizontal="center"/>
    </xf>
    <xf numFmtId="0" fontId="16" fillId="2" borderId="2" xfId="0" applyFont="1" applyFill="1" applyBorder="1" applyAlignment="1">
      <alignment horizontal="center" vertical="center"/>
    </xf>
    <xf numFmtId="0" fontId="18" fillId="3" borderId="17" xfId="0" applyFont="1" applyFill="1" applyBorder="1" applyAlignment="1">
      <alignment vertical="center" wrapText="1"/>
    </xf>
    <xf numFmtId="0" fontId="18" fillId="3" borderId="13" xfId="0" applyFont="1" applyFill="1" applyBorder="1" applyAlignment="1">
      <alignment vertical="center" wrapText="1"/>
    </xf>
    <xf numFmtId="164" fontId="16" fillId="2" borderId="2" xfId="3" applyFont="1" applyFill="1" applyBorder="1" applyAlignment="1">
      <alignment vertical="center"/>
    </xf>
    <xf numFmtId="164" fontId="4" fillId="0" borderId="4" xfId="3" applyFont="1" applyFill="1" applyBorder="1"/>
    <xf numFmtId="164" fontId="4" fillId="7" borderId="4" xfId="3" applyFont="1" applyFill="1" applyBorder="1"/>
    <xf numFmtId="4" fontId="4" fillId="6" borderId="4" xfId="0" applyNumberFormat="1" applyFont="1" applyFill="1" applyBorder="1"/>
    <xf numFmtId="4" fontId="3" fillId="4" borderId="4" xfId="0" applyNumberFormat="1" applyFont="1" applyFill="1" applyBorder="1"/>
    <xf numFmtId="4" fontId="4" fillId="0" borderId="4" xfId="0" applyNumberFormat="1" applyFont="1" applyBorder="1"/>
    <xf numFmtId="0" fontId="18" fillId="3" borderId="16" xfId="0" applyFont="1" applyFill="1" applyBorder="1" applyAlignment="1">
      <alignment horizontal="center" vertical="center" wrapText="1"/>
    </xf>
    <xf numFmtId="164" fontId="18" fillId="3" borderId="14" xfId="3" applyFont="1" applyFill="1" applyBorder="1" applyAlignment="1">
      <alignment horizontal="center" vertical="center" wrapText="1"/>
    </xf>
    <xf numFmtId="0" fontId="20" fillId="0" borderId="0" xfId="0" applyFont="1"/>
    <xf numFmtId="0" fontId="21" fillId="0" borderId="0" xfId="0" applyFont="1"/>
    <xf numFmtId="0" fontId="5" fillId="2" borderId="0" xfId="2" applyFont="1" applyFill="1" applyAlignment="1" applyProtection="1">
      <alignment horizontal="left"/>
    </xf>
    <xf numFmtId="49" fontId="22" fillId="7" borderId="5" xfId="0" applyNumberFormat="1" applyFont="1" applyFill="1" applyBorder="1" applyAlignment="1">
      <alignment vertical="center"/>
    </xf>
    <xf numFmtId="164" fontId="0" fillId="0" borderId="0" xfId="0" applyNumberFormat="1"/>
    <xf numFmtId="0" fontId="18" fillId="3" borderId="6" xfId="0" applyFont="1" applyFill="1" applyBorder="1" applyAlignment="1">
      <alignment horizontal="center" vertical="center" wrapText="1"/>
    </xf>
    <xf numFmtId="164" fontId="18" fillId="3" borderId="6" xfId="3" applyFont="1" applyFill="1" applyBorder="1" applyAlignment="1">
      <alignment horizontal="center" vertical="center" wrapText="1"/>
    </xf>
    <xf numFmtId="0" fontId="0" fillId="0" borderId="6" xfId="0" applyBorder="1"/>
    <xf numFmtId="0" fontId="18" fillId="3" borderId="6" xfId="0" applyFont="1" applyFill="1" applyBorder="1" applyAlignment="1">
      <alignment vertical="center" wrapText="1"/>
    </xf>
    <xf numFmtId="164" fontId="23" fillId="8" borderId="4" xfId="3" applyFont="1" applyFill="1" applyBorder="1"/>
    <xf numFmtId="43" fontId="0" fillId="0" borderId="0" xfId="0" applyNumberFormat="1"/>
    <xf numFmtId="4" fontId="4" fillId="9" borderId="7" xfId="0" applyNumberFormat="1" applyFont="1" applyFill="1" applyBorder="1"/>
    <xf numFmtId="14" fontId="0" fillId="0" borderId="0" xfId="0" applyNumberFormat="1"/>
    <xf numFmtId="164" fontId="20" fillId="0" borderId="0" xfId="3" applyFont="1"/>
    <xf numFmtId="164" fontId="21" fillId="0" borderId="0" xfId="3" applyFont="1"/>
    <xf numFmtId="0" fontId="25" fillId="8" borderId="8" xfId="0" applyFont="1" applyFill="1" applyBorder="1" applyAlignment="1">
      <alignment horizontal="center" vertical="center"/>
    </xf>
    <xf numFmtId="0" fontId="25" fillId="8" borderId="9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/>
    </xf>
    <xf numFmtId="0" fontId="25" fillId="8" borderId="10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49" fontId="16" fillId="2" borderId="0" xfId="0" applyNumberFormat="1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14" fontId="16" fillId="2" borderId="0" xfId="0" applyNumberFormat="1" applyFont="1" applyFill="1" applyAlignment="1">
      <alignment horizontal="center" vertical="center"/>
    </xf>
    <xf numFmtId="164" fontId="16" fillId="2" borderId="0" xfId="3" applyFont="1" applyFill="1" applyBorder="1" applyAlignment="1">
      <alignment vertical="center"/>
    </xf>
    <xf numFmtId="0" fontId="25" fillId="8" borderId="11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5" fillId="8" borderId="9" xfId="0" applyFont="1" applyFill="1" applyBorder="1" applyAlignment="1">
      <alignment horizontal="center" vertical="center" wrapText="1"/>
    </xf>
    <xf numFmtId="164" fontId="10" fillId="10" borderId="5" xfId="0" applyNumberFormat="1" applyFont="1" applyFill="1" applyBorder="1" applyAlignment="1">
      <alignment horizontal="center"/>
    </xf>
    <xf numFmtId="164" fontId="25" fillId="8" borderId="10" xfId="3" applyFont="1" applyFill="1" applyBorder="1" applyAlignment="1">
      <alignment horizontal="center" vertical="center" wrapText="1"/>
    </xf>
    <xf numFmtId="164" fontId="10" fillId="10" borderId="5" xfId="3" applyFont="1" applyFill="1" applyBorder="1" applyAlignment="1">
      <alignment horizontal="center"/>
    </xf>
    <xf numFmtId="164" fontId="3" fillId="11" borderId="4" xfId="3" applyFont="1" applyFill="1" applyBorder="1"/>
    <xf numFmtId="164" fontId="16" fillId="2" borderId="2" xfId="3" applyFont="1" applyFill="1" applyBorder="1" applyAlignment="1">
      <alignment horizontal="center" vertical="center"/>
    </xf>
    <xf numFmtId="164" fontId="5" fillId="5" borderId="3" xfId="3" applyFont="1" applyFill="1" applyBorder="1"/>
    <xf numFmtId="49" fontId="16" fillId="0" borderId="4" xfId="0" applyNumberFormat="1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0" fontId="20" fillId="0" borderId="0" xfId="0" applyFont="1" applyAlignment="1">
      <alignment wrapText="1"/>
    </xf>
    <xf numFmtId="0" fontId="25" fillId="8" borderId="8" xfId="0" applyFont="1" applyFill="1" applyBorder="1" applyAlignment="1">
      <alignment horizontal="center" vertical="center" wrapText="1"/>
    </xf>
    <xf numFmtId="0" fontId="25" fillId="8" borderId="1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1" fillId="12" borderId="0" xfId="0" applyFont="1" applyFill="1"/>
    <xf numFmtId="0" fontId="21" fillId="0" borderId="0" xfId="0" applyFont="1" applyAlignment="1">
      <alignment horizontal="left"/>
    </xf>
    <xf numFmtId="4" fontId="3" fillId="4" borderId="2" xfId="0" applyNumberFormat="1" applyFont="1" applyFill="1" applyBorder="1"/>
    <xf numFmtId="14" fontId="16" fillId="2" borderId="2" xfId="0" applyNumberFormat="1" applyFont="1" applyFill="1" applyBorder="1" applyAlignment="1">
      <alignment horizontal="center" vertical="center" wrapText="1"/>
    </xf>
    <xf numFmtId="16" fontId="0" fillId="0" borderId="0" xfId="0" applyNumberFormat="1"/>
    <xf numFmtId="49" fontId="16" fillId="13" borderId="4" xfId="0" applyNumberFormat="1" applyFont="1" applyFill="1" applyBorder="1" applyAlignment="1">
      <alignment horizontal="center" vertical="center"/>
    </xf>
    <xf numFmtId="0" fontId="0" fillId="13" borderId="0" xfId="0" applyFill="1"/>
    <xf numFmtId="0" fontId="4" fillId="0" borderId="0" xfId="0" applyFont="1" applyAlignment="1">
      <alignment horizontal="center"/>
    </xf>
    <xf numFmtId="4" fontId="5" fillId="0" borderId="4" xfId="2" applyNumberFormat="1" applyFont="1" applyFill="1" applyBorder="1" applyAlignment="1" applyProtection="1">
      <alignment horizontal="center"/>
    </xf>
    <xf numFmtId="164" fontId="18" fillId="3" borderId="16" xfId="3" applyFont="1" applyFill="1" applyBorder="1" applyAlignment="1">
      <alignment horizontal="center" vertical="center" wrapText="1"/>
    </xf>
    <xf numFmtId="164" fontId="18" fillId="3" borderId="19" xfId="3" applyFont="1" applyFill="1" applyBorder="1" applyAlignment="1">
      <alignment horizontal="center" vertical="center" wrapText="1"/>
    </xf>
    <xf numFmtId="0" fontId="18" fillId="3" borderId="19" xfId="0" applyFont="1" applyFill="1" applyBorder="1" applyAlignment="1">
      <alignment horizontal="center" vertical="center" wrapText="1"/>
    </xf>
    <xf numFmtId="0" fontId="18" fillId="3" borderId="18" xfId="0" applyFont="1" applyFill="1" applyBorder="1" applyAlignment="1">
      <alignment horizontal="center" vertical="center" wrapText="1"/>
    </xf>
    <xf numFmtId="0" fontId="19" fillId="14" borderId="4" xfId="0" applyFont="1" applyFill="1" applyBorder="1" applyAlignment="1">
      <alignment horizontal="center"/>
    </xf>
    <xf numFmtId="0" fontId="24" fillId="3" borderId="16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center" vertical="center" wrapText="1"/>
    </xf>
    <xf numFmtId="0" fontId="18" fillId="3" borderId="17" xfId="0" applyFont="1" applyFill="1" applyBorder="1" applyAlignment="1">
      <alignment horizontal="center" vertical="center" wrapText="1"/>
    </xf>
    <xf numFmtId="0" fontId="18" fillId="3" borderId="18" xfId="0" applyFont="1" applyFill="1" applyBorder="1" applyAlignment="1">
      <alignment horizontal="center" vertical="center" wrapText="1"/>
    </xf>
    <xf numFmtId="164" fontId="18" fillId="3" borderId="14" xfId="3" applyFont="1" applyFill="1" applyBorder="1" applyAlignment="1">
      <alignment horizontal="center" vertical="center" wrapText="1"/>
    </xf>
    <xf numFmtId="164" fontId="18" fillId="3" borderId="20" xfId="3" applyFont="1" applyFill="1" applyBorder="1" applyAlignment="1">
      <alignment horizontal="center" vertical="center" wrapText="1"/>
    </xf>
    <xf numFmtId="164" fontId="18" fillId="3" borderId="15" xfId="3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49" fontId="21" fillId="0" borderId="1" xfId="0" applyNumberFormat="1" applyFont="1" applyBorder="1" applyAlignment="1">
      <alignment horizontal="center"/>
    </xf>
    <xf numFmtId="0" fontId="10" fillId="10" borderId="12" xfId="0" applyFont="1" applyFill="1" applyBorder="1" applyAlignment="1">
      <alignment horizontal="center"/>
    </xf>
    <xf numFmtId="0" fontId="10" fillId="10" borderId="5" xfId="0" applyFont="1" applyFill="1" applyBorder="1" applyAlignment="1">
      <alignment horizontal="center"/>
    </xf>
    <xf numFmtId="0" fontId="18" fillId="3" borderId="6" xfId="0" applyFont="1" applyFill="1" applyBorder="1" applyAlignment="1">
      <alignment horizontal="center" vertical="center" wrapText="1"/>
    </xf>
    <xf numFmtId="0" fontId="22" fillId="7" borderId="5" xfId="0" applyFont="1" applyFill="1" applyBorder="1" applyAlignment="1">
      <alignment horizontal="right" vertical="center"/>
    </xf>
  </cellXfs>
  <cellStyles count="8">
    <cellStyle name="Estilo 1" xfId="1" xr:uid="{00000000-0005-0000-0000-000000000000}"/>
    <cellStyle name="Hipervínculo" xfId="2" builtinId="8"/>
    <cellStyle name="Millares" xfId="3" builtinId="3"/>
    <cellStyle name="Millares 3" xfId="7" xr:uid="{00000000-0005-0000-0000-000003000000}"/>
    <cellStyle name="Normal" xfId="0" builtinId="0"/>
    <cellStyle name="Normal 2" xfId="4" xr:uid="{00000000-0005-0000-0000-000005000000}"/>
    <cellStyle name="Normal 2 2" xfId="6" xr:uid="{00000000-0005-0000-0000-000006000000}"/>
    <cellStyle name="Normal 3" xfId="5" xr:uid="{00000000-0005-0000-0000-000007000000}"/>
  </cellStyles>
  <dxfs count="0"/>
  <tableStyles count="0" defaultTableStyle="TableStyleMedium9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0</xdr:rowOff>
    </xdr:from>
    <xdr:to>
      <xdr:col>2</xdr:col>
      <xdr:colOff>1028699</xdr:colOff>
      <xdr:row>2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4" y="0"/>
          <a:ext cx="1724025" cy="457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24</xdr:row>
      <xdr:rowOff>9525</xdr:rowOff>
    </xdr:from>
    <xdr:to>
      <xdr:col>5</xdr:col>
      <xdr:colOff>1213407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400050" y="5676900"/>
          <a:ext cx="2781300" cy="685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V.B.</a:t>
          </a:r>
        </a:p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_____________________________________</a:t>
          </a:r>
        </a:p>
      </xdr:txBody>
    </xdr:sp>
    <xdr:clientData/>
  </xdr:twoCellAnchor>
  <xdr:twoCellAnchor>
    <xdr:from>
      <xdr:col>6</xdr:col>
      <xdr:colOff>525780</xdr:colOff>
      <xdr:row>24</xdr:row>
      <xdr:rowOff>0</xdr:rowOff>
    </xdr:from>
    <xdr:to>
      <xdr:col>9</xdr:col>
      <xdr:colOff>367690</xdr:colOff>
      <xdr:row>28</xdr:row>
      <xdr:rowOff>38100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810000" y="5667375"/>
          <a:ext cx="2781300" cy="685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V.B.</a:t>
          </a:r>
        </a:p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_____________________________________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25</xdr:row>
      <xdr:rowOff>150495</xdr:rowOff>
    </xdr:from>
    <xdr:to>
      <xdr:col>6</xdr:col>
      <xdr:colOff>1865</xdr:colOff>
      <xdr:row>30</xdr:row>
      <xdr:rowOff>28622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495300" y="5657850"/>
          <a:ext cx="2783165" cy="685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V.B.</a:t>
          </a:r>
        </a:p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_____________________________________</a:t>
          </a:r>
        </a:p>
      </xdr:txBody>
    </xdr:sp>
    <xdr:clientData/>
  </xdr:twoCellAnchor>
  <xdr:twoCellAnchor>
    <xdr:from>
      <xdr:col>7</xdr:col>
      <xdr:colOff>771525</xdr:colOff>
      <xdr:row>25</xdr:row>
      <xdr:rowOff>104775</xdr:rowOff>
    </xdr:from>
    <xdr:to>
      <xdr:col>13</xdr:col>
      <xdr:colOff>474348</xdr:colOff>
      <xdr:row>29</xdr:row>
      <xdr:rowOff>142875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49240" y="5610225"/>
          <a:ext cx="3080385" cy="685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V.B.</a:t>
          </a:r>
        </a:p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_____________________________________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25</xdr:row>
      <xdr:rowOff>9525</xdr:rowOff>
    </xdr:from>
    <xdr:to>
      <xdr:col>5</xdr:col>
      <xdr:colOff>1213407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400050" y="5838825"/>
          <a:ext cx="2781300" cy="685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V.B.</a:t>
          </a:r>
        </a:p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_____________________________________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26</xdr:row>
      <xdr:rowOff>9525</xdr:rowOff>
    </xdr:from>
    <xdr:to>
      <xdr:col>5</xdr:col>
      <xdr:colOff>1213407</xdr:colOff>
      <xdr:row>30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0050" y="5838825"/>
          <a:ext cx="2781300" cy="685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V.B.</a:t>
          </a:r>
        </a:p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_____________________________________</a:t>
          </a:r>
        </a:p>
      </xdr:txBody>
    </xdr:sp>
    <xdr:clientData/>
  </xdr:twoCellAnchor>
  <xdr:twoCellAnchor>
    <xdr:from>
      <xdr:col>6</xdr:col>
      <xdr:colOff>525780</xdr:colOff>
      <xdr:row>26</xdr:row>
      <xdr:rowOff>0</xdr:rowOff>
    </xdr:from>
    <xdr:to>
      <xdr:col>10</xdr:col>
      <xdr:colOff>51</xdr:colOff>
      <xdr:row>30</xdr:row>
      <xdr:rowOff>38100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3810000" y="5829300"/>
          <a:ext cx="2409825" cy="685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V.B.</a:t>
          </a:r>
        </a:p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_____________________________________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25</xdr:row>
      <xdr:rowOff>9525</xdr:rowOff>
    </xdr:from>
    <xdr:to>
      <xdr:col>5</xdr:col>
      <xdr:colOff>1213407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400050" y="5514975"/>
          <a:ext cx="2785032" cy="685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V.B.</a:t>
          </a:r>
        </a:p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_____________________________________</a:t>
          </a:r>
        </a:p>
      </xdr:txBody>
    </xdr:sp>
    <xdr:clientData/>
  </xdr:twoCellAnchor>
  <xdr:twoCellAnchor>
    <xdr:from>
      <xdr:col>6</xdr:col>
      <xdr:colOff>525780</xdr:colOff>
      <xdr:row>25</xdr:row>
      <xdr:rowOff>0</xdr:rowOff>
    </xdr:from>
    <xdr:to>
      <xdr:col>12</xdr:col>
      <xdr:colOff>51</xdr:colOff>
      <xdr:row>29</xdr:row>
      <xdr:rowOff>38100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3802380" y="5505450"/>
          <a:ext cx="3236646" cy="685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V.B.</a:t>
          </a:r>
        </a:p>
        <a:p>
          <a:pPr algn="l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_____________________________________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>
    <tabColor rgb="FF00B0F0"/>
    <pageSetUpPr fitToPage="1"/>
  </sheetPr>
  <dimension ref="A1:Y27"/>
  <sheetViews>
    <sheetView showGridLines="0" tabSelected="1" zoomScaleNormal="100" workbookViewId="0">
      <selection activeCell="J15" sqref="J15"/>
    </sheetView>
  </sheetViews>
  <sheetFormatPr baseColWidth="10" defaultRowHeight="12.75" x14ac:dyDescent="0.2"/>
  <cols>
    <col min="1" max="2" width="5.7109375" customWidth="1"/>
    <col min="3" max="3" width="15.85546875" customWidth="1"/>
    <col min="4" max="4" width="12.85546875" customWidth="1"/>
    <col min="5" max="5" width="9.7109375" style="11" customWidth="1"/>
    <col min="6" max="6" width="10.85546875" customWidth="1"/>
    <col min="7" max="7" width="8.28515625" style="22" customWidth="1"/>
    <col min="8" max="8" width="14.85546875" customWidth="1"/>
    <col min="9" max="9" width="7.42578125" customWidth="1"/>
    <col min="10" max="10" width="10.28515625" style="17" customWidth="1"/>
    <col min="11" max="11" width="7.5703125" customWidth="1"/>
    <col min="12" max="12" width="10.42578125" customWidth="1"/>
    <col min="13" max="13" width="13.140625" customWidth="1"/>
    <col min="14" max="14" width="10.28515625" customWidth="1"/>
    <col min="15" max="15" width="10.42578125" style="17" customWidth="1"/>
    <col min="16" max="16" width="9.28515625" customWidth="1"/>
    <col min="17" max="18" width="8.7109375" customWidth="1"/>
    <col min="19" max="19" width="10.28515625" customWidth="1"/>
    <col min="20" max="20" width="9" customWidth="1"/>
    <col min="21" max="21" width="10.28515625" customWidth="1"/>
    <col min="22" max="22" width="10.85546875" customWidth="1"/>
    <col min="23" max="23" width="11.42578125" style="17" customWidth="1"/>
    <col min="24" max="25" width="9.85546875" customWidth="1"/>
  </cols>
  <sheetData>
    <row r="1" spans="1:25" x14ac:dyDescent="0.2">
      <c r="A1" s="14"/>
      <c r="D1" s="14" t="s">
        <v>101</v>
      </c>
    </row>
    <row r="2" spans="1:25" x14ac:dyDescent="0.2">
      <c r="A2" s="14"/>
      <c r="D2" s="14" t="s">
        <v>102</v>
      </c>
      <c r="E2" s="9"/>
      <c r="F2" s="1"/>
      <c r="G2" s="24"/>
      <c r="H2" s="1"/>
      <c r="I2" s="1"/>
      <c r="J2" s="19"/>
      <c r="K2" s="1"/>
      <c r="L2" s="1"/>
      <c r="M2" s="1"/>
      <c r="N2" s="1"/>
      <c r="O2" s="19"/>
      <c r="P2" s="1"/>
      <c r="Q2" s="1"/>
      <c r="R2" s="1"/>
      <c r="S2" s="1"/>
      <c r="T2" s="1"/>
      <c r="U2" s="1"/>
      <c r="V2" s="1"/>
      <c r="W2" s="19"/>
      <c r="X2" s="1"/>
      <c r="Y2" s="1"/>
    </row>
    <row r="3" spans="1:25" x14ac:dyDescent="0.2">
      <c r="B3" s="8"/>
      <c r="C3" s="4"/>
      <c r="D3" s="2"/>
      <c r="E3" s="10"/>
      <c r="F3" s="2"/>
      <c r="G3" s="24"/>
      <c r="H3" s="1"/>
      <c r="I3" s="1"/>
      <c r="J3" s="19"/>
      <c r="K3" s="1"/>
      <c r="L3" s="1"/>
      <c r="M3" s="1"/>
      <c r="N3" s="1"/>
      <c r="O3" s="19"/>
      <c r="P3" s="1"/>
      <c r="Q3" s="1"/>
      <c r="R3" s="1"/>
      <c r="S3" s="1"/>
      <c r="T3" s="1"/>
      <c r="U3" s="1"/>
      <c r="V3" s="3"/>
      <c r="W3" s="19"/>
      <c r="X3" s="1"/>
      <c r="Y3" s="1"/>
    </row>
    <row r="4" spans="1:25" ht="18.75" x14ac:dyDescent="0.2">
      <c r="A4" s="96" t="s">
        <v>137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8"/>
    </row>
    <row r="5" spans="1:25" s="7" customFormat="1" x14ac:dyDescent="0.2">
      <c r="B5" s="10">
        <v>1</v>
      </c>
      <c r="C5" s="10">
        <v>2</v>
      </c>
      <c r="D5" s="10">
        <v>3</v>
      </c>
      <c r="E5" s="10">
        <v>4</v>
      </c>
      <c r="F5" s="10">
        <v>5</v>
      </c>
      <c r="G5" s="10">
        <v>7</v>
      </c>
      <c r="H5" s="10">
        <v>9</v>
      </c>
      <c r="I5" s="10">
        <v>10</v>
      </c>
      <c r="J5" s="10">
        <v>11</v>
      </c>
      <c r="K5" s="10">
        <v>12</v>
      </c>
      <c r="L5" s="10">
        <v>13</v>
      </c>
      <c r="M5" s="10">
        <v>14</v>
      </c>
      <c r="N5" s="10">
        <v>15</v>
      </c>
      <c r="O5" s="10">
        <v>16</v>
      </c>
      <c r="P5" s="10">
        <v>17</v>
      </c>
      <c r="Q5" s="10">
        <v>18</v>
      </c>
      <c r="R5" s="10">
        <v>19</v>
      </c>
      <c r="S5" s="10">
        <v>20</v>
      </c>
      <c r="T5" s="10">
        <v>21</v>
      </c>
      <c r="U5" s="10">
        <v>22</v>
      </c>
      <c r="V5" s="10">
        <v>24</v>
      </c>
      <c r="W5" s="10">
        <v>25</v>
      </c>
      <c r="X5" s="6">
        <v>28</v>
      </c>
      <c r="Y5" s="6">
        <v>30</v>
      </c>
    </row>
    <row r="6" spans="1:25" s="5" customFormat="1" ht="39.75" customHeight="1" x14ac:dyDescent="0.2">
      <c r="A6" s="99" t="s">
        <v>25</v>
      </c>
      <c r="B6" s="100" t="s">
        <v>27</v>
      </c>
      <c r="C6" s="101"/>
      <c r="D6" s="101"/>
      <c r="E6" s="101"/>
      <c r="F6" s="101"/>
      <c r="G6" s="101"/>
      <c r="H6" s="102"/>
      <c r="I6" s="94" t="s">
        <v>29</v>
      </c>
      <c r="J6" s="104" t="s">
        <v>31</v>
      </c>
      <c r="K6" s="105"/>
      <c r="L6" s="94" t="s">
        <v>32</v>
      </c>
      <c r="M6" s="91" t="s">
        <v>126</v>
      </c>
      <c r="N6" s="29" t="s">
        <v>32</v>
      </c>
      <c r="O6" s="103" t="s">
        <v>8</v>
      </c>
      <c r="P6" s="99" t="s">
        <v>9</v>
      </c>
      <c r="Q6" s="99"/>
      <c r="R6" s="99"/>
      <c r="S6" s="99"/>
      <c r="T6" s="99"/>
      <c r="U6" s="99"/>
      <c r="V6" s="99"/>
      <c r="W6" s="103" t="s">
        <v>10</v>
      </c>
      <c r="X6" s="99" t="s">
        <v>11</v>
      </c>
      <c r="Y6" s="99"/>
    </row>
    <row r="7" spans="1:25" s="5" customFormat="1" ht="40.5" customHeight="1" x14ac:dyDescent="0.2">
      <c r="A7" s="99"/>
      <c r="B7" s="32" t="s">
        <v>6</v>
      </c>
      <c r="C7" s="28" t="s">
        <v>7</v>
      </c>
      <c r="D7" s="28" t="s">
        <v>51</v>
      </c>
      <c r="E7" s="29" t="s">
        <v>3</v>
      </c>
      <c r="F7" s="29" t="s">
        <v>28</v>
      </c>
      <c r="G7" s="28" t="s">
        <v>26</v>
      </c>
      <c r="H7" s="28" t="s">
        <v>2</v>
      </c>
      <c r="I7" s="29" t="s">
        <v>20</v>
      </c>
      <c r="J7" s="92" t="s">
        <v>5</v>
      </c>
      <c r="K7" s="93" t="s">
        <v>111</v>
      </c>
      <c r="L7" s="29" t="s">
        <v>33</v>
      </c>
      <c r="M7" s="29" t="s">
        <v>136</v>
      </c>
      <c r="N7" s="29" t="s">
        <v>33</v>
      </c>
      <c r="O7" s="103"/>
      <c r="P7" s="29" t="s">
        <v>0</v>
      </c>
      <c r="Q7" s="29" t="s">
        <v>12</v>
      </c>
      <c r="R7" s="29" t="s">
        <v>13</v>
      </c>
      <c r="S7" s="29" t="s">
        <v>14</v>
      </c>
      <c r="T7" s="29" t="s">
        <v>15</v>
      </c>
      <c r="U7" s="29" t="s">
        <v>59</v>
      </c>
      <c r="V7" s="29" t="s">
        <v>16</v>
      </c>
      <c r="W7" s="103"/>
      <c r="X7" s="29" t="s">
        <v>17</v>
      </c>
      <c r="Y7" s="29" t="s">
        <v>18</v>
      </c>
    </row>
    <row r="8" spans="1:25" s="5" customFormat="1" x14ac:dyDescent="0.2">
      <c r="A8" s="40"/>
      <c r="B8" s="33"/>
      <c r="C8" s="28"/>
      <c r="D8" s="28"/>
      <c r="E8" s="29"/>
      <c r="F8" s="29"/>
      <c r="G8" s="28"/>
      <c r="H8" s="28"/>
      <c r="I8" s="29"/>
      <c r="J8" s="41" t="s">
        <v>30</v>
      </c>
      <c r="K8" s="29"/>
      <c r="L8" s="29" t="s">
        <v>34</v>
      </c>
      <c r="M8" s="28"/>
      <c r="N8" s="29" t="s">
        <v>127</v>
      </c>
      <c r="O8" s="41"/>
      <c r="P8" s="29"/>
      <c r="Q8" s="29"/>
      <c r="R8" s="29"/>
      <c r="S8" s="29"/>
      <c r="T8" s="29"/>
      <c r="U8" s="29" t="s">
        <v>60</v>
      </c>
      <c r="V8" s="29"/>
      <c r="W8" s="41"/>
      <c r="X8" s="29"/>
      <c r="Y8" s="29"/>
    </row>
    <row r="9" spans="1:25" x14ac:dyDescent="0.2">
      <c r="A9" s="89">
        <v>1</v>
      </c>
      <c r="B9" s="87" t="s">
        <v>21</v>
      </c>
      <c r="C9" s="12" t="s">
        <v>112</v>
      </c>
      <c r="D9" s="25" t="s">
        <v>113</v>
      </c>
      <c r="E9" s="26">
        <v>41154972</v>
      </c>
      <c r="F9" s="30">
        <v>43709</v>
      </c>
      <c r="G9" s="27" t="s">
        <v>92</v>
      </c>
      <c r="H9" s="27" t="s">
        <v>93</v>
      </c>
      <c r="I9" s="95">
        <v>15</v>
      </c>
      <c r="J9" s="35">
        <v>1000</v>
      </c>
      <c r="K9" s="35">
        <v>0</v>
      </c>
      <c r="L9" s="36">
        <f>SUM(J9:K9)</f>
        <v>1000</v>
      </c>
      <c r="M9" s="35">
        <v>0</v>
      </c>
      <c r="N9" s="90">
        <f t="shared" ref="N9:N20" si="0">SUM(M9:M9)</f>
        <v>0</v>
      </c>
      <c r="O9" s="73">
        <f>+L9+N9</f>
        <v>1000</v>
      </c>
      <c r="P9" s="15">
        <v>0</v>
      </c>
      <c r="Q9" s="37">
        <v>0</v>
      </c>
      <c r="R9" s="37">
        <v>0</v>
      </c>
      <c r="S9" s="38">
        <f>SUM(P9:R9)</f>
        <v>0</v>
      </c>
      <c r="T9" s="39">
        <v>0</v>
      </c>
      <c r="U9" s="39">
        <v>0</v>
      </c>
      <c r="V9" s="13">
        <f t="shared" ref="V9" si="1">SUM(S9:U9)</f>
        <v>0</v>
      </c>
      <c r="W9" s="51">
        <f>L9/2</f>
        <v>500</v>
      </c>
      <c r="X9" s="84">
        <v>0</v>
      </c>
      <c r="Y9" s="53">
        <f t="shared" ref="Y9" si="2">SUM(X9:X9)</f>
        <v>0</v>
      </c>
    </row>
    <row r="10" spans="1:25" x14ac:dyDescent="0.2">
      <c r="A10" s="89">
        <v>2</v>
      </c>
      <c r="B10" s="87" t="s">
        <v>22</v>
      </c>
      <c r="C10" s="12" t="s">
        <v>114</v>
      </c>
      <c r="D10" s="25" t="s">
        <v>115</v>
      </c>
      <c r="E10" s="26">
        <v>72039292</v>
      </c>
      <c r="F10" s="30">
        <v>44844</v>
      </c>
      <c r="G10" s="27" t="s">
        <v>98</v>
      </c>
      <c r="H10" s="27" t="s">
        <v>100</v>
      </c>
      <c r="I10" s="95">
        <v>15</v>
      </c>
      <c r="J10" s="35">
        <v>500</v>
      </c>
      <c r="K10" s="35">
        <v>0</v>
      </c>
      <c r="L10" s="36">
        <f t="shared" ref="L10:L20" si="3">SUM(J10:K10)</f>
        <v>500</v>
      </c>
      <c r="M10" s="35">
        <v>0</v>
      </c>
      <c r="N10" s="90">
        <f t="shared" si="0"/>
        <v>0</v>
      </c>
      <c r="O10" s="73">
        <f t="shared" ref="O10:O20" si="4">+L10+N10</f>
        <v>500</v>
      </c>
      <c r="P10" s="15">
        <v>0</v>
      </c>
      <c r="Q10" s="37">
        <v>0</v>
      </c>
      <c r="R10" s="37">
        <v>0</v>
      </c>
      <c r="S10" s="38">
        <f t="shared" ref="S10:S20" si="5">SUM(P10:R10)</f>
        <v>0</v>
      </c>
      <c r="T10" s="39">
        <v>0</v>
      </c>
      <c r="U10" s="39">
        <v>0</v>
      </c>
      <c r="V10" s="13">
        <f t="shared" ref="V10:V20" si="6">SUM(S10:U10)</f>
        <v>0</v>
      </c>
      <c r="W10" s="51">
        <f t="shared" ref="W10:W15" si="7">L10/2</f>
        <v>250</v>
      </c>
      <c r="X10" s="84">
        <v>0</v>
      </c>
      <c r="Y10" s="53">
        <f t="shared" ref="Y10:Y20" si="8">SUM(X10:X10)</f>
        <v>0</v>
      </c>
    </row>
    <row r="11" spans="1:25" x14ac:dyDescent="0.2">
      <c r="A11" s="89">
        <v>3</v>
      </c>
      <c r="B11" s="87" t="s">
        <v>67</v>
      </c>
      <c r="C11" s="12" t="s">
        <v>116</v>
      </c>
      <c r="D11" s="25" t="s">
        <v>117</v>
      </c>
      <c r="E11" s="26">
        <v>75390372</v>
      </c>
      <c r="F11" s="30">
        <v>44958</v>
      </c>
      <c r="G11" s="27" t="s">
        <v>92</v>
      </c>
      <c r="H11" s="27" t="s">
        <v>96</v>
      </c>
      <c r="I11" s="95">
        <v>15</v>
      </c>
      <c r="J11" s="35">
        <v>500</v>
      </c>
      <c r="K11" s="35">
        <v>0</v>
      </c>
      <c r="L11" s="36">
        <f t="shared" si="3"/>
        <v>500</v>
      </c>
      <c r="M11" s="35">
        <v>0</v>
      </c>
      <c r="N11" s="90">
        <f t="shared" si="0"/>
        <v>0</v>
      </c>
      <c r="O11" s="73">
        <f t="shared" si="4"/>
        <v>500</v>
      </c>
      <c r="P11" s="15">
        <v>0</v>
      </c>
      <c r="Q11" s="37">
        <v>0</v>
      </c>
      <c r="R11" s="37">
        <v>0</v>
      </c>
      <c r="S11" s="38">
        <f t="shared" si="5"/>
        <v>0</v>
      </c>
      <c r="T11" s="39">
        <v>0</v>
      </c>
      <c r="U11" s="39">
        <v>0</v>
      </c>
      <c r="V11" s="13">
        <f t="shared" si="6"/>
        <v>0</v>
      </c>
      <c r="W11" s="51">
        <f t="shared" si="7"/>
        <v>250</v>
      </c>
      <c r="X11" s="84">
        <v>0</v>
      </c>
      <c r="Y11" s="53">
        <f t="shared" si="8"/>
        <v>0</v>
      </c>
    </row>
    <row r="12" spans="1:25" x14ac:dyDescent="0.2">
      <c r="A12" s="89">
        <v>4</v>
      </c>
      <c r="B12" s="87" t="s">
        <v>68</v>
      </c>
      <c r="C12" s="12" t="s">
        <v>118</v>
      </c>
      <c r="D12" s="25" t="s">
        <v>119</v>
      </c>
      <c r="E12" s="26">
        <v>42460503</v>
      </c>
      <c r="F12" s="30">
        <v>45139</v>
      </c>
      <c r="G12" s="27" t="s">
        <v>92</v>
      </c>
      <c r="H12" s="27" t="s">
        <v>103</v>
      </c>
      <c r="I12" s="95">
        <v>15</v>
      </c>
      <c r="J12" s="35">
        <v>500</v>
      </c>
      <c r="K12" s="35">
        <v>0</v>
      </c>
      <c r="L12" s="36">
        <f t="shared" si="3"/>
        <v>500</v>
      </c>
      <c r="M12" s="35">
        <v>0</v>
      </c>
      <c r="N12" s="90">
        <f t="shared" si="0"/>
        <v>0</v>
      </c>
      <c r="O12" s="73">
        <f t="shared" si="4"/>
        <v>500</v>
      </c>
      <c r="P12" s="15">
        <v>0</v>
      </c>
      <c r="Q12" s="37">
        <v>0</v>
      </c>
      <c r="R12" s="37">
        <v>0</v>
      </c>
      <c r="S12" s="38">
        <f t="shared" si="5"/>
        <v>0</v>
      </c>
      <c r="T12" s="39">
        <v>0</v>
      </c>
      <c r="U12" s="39">
        <v>0</v>
      </c>
      <c r="V12" s="13">
        <f t="shared" si="6"/>
        <v>0</v>
      </c>
      <c r="W12" s="51">
        <f t="shared" si="7"/>
        <v>250</v>
      </c>
      <c r="X12" s="84">
        <v>0</v>
      </c>
      <c r="Y12" s="53">
        <f t="shared" si="8"/>
        <v>0</v>
      </c>
    </row>
    <row r="13" spans="1:25" x14ac:dyDescent="0.2">
      <c r="A13" s="89">
        <v>5</v>
      </c>
      <c r="B13" s="87" t="s">
        <v>23</v>
      </c>
      <c r="C13" s="12" t="s">
        <v>120</v>
      </c>
      <c r="D13" s="25" t="s">
        <v>121</v>
      </c>
      <c r="E13" s="26">
        <v>10146524</v>
      </c>
      <c r="F13" s="30">
        <v>45139</v>
      </c>
      <c r="G13" s="27" t="s">
        <v>92</v>
      </c>
      <c r="H13" s="27" t="s">
        <v>97</v>
      </c>
      <c r="I13" s="95">
        <v>15</v>
      </c>
      <c r="J13" s="35">
        <v>500</v>
      </c>
      <c r="K13" s="35">
        <v>0</v>
      </c>
      <c r="L13" s="36">
        <f t="shared" si="3"/>
        <v>500</v>
      </c>
      <c r="M13" s="35">
        <v>0</v>
      </c>
      <c r="N13" s="90">
        <f t="shared" si="0"/>
        <v>0</v>
      </c>
      <c r="O13" s="73">
        <f t="shared" si="4"/>
        <v>500</v>
      </c>
      <c r="P13" s="15">
        <v>0</v>
      </c>
      <c r="Q13" s="37">
        <v>0</v>
      </c>
      <c r="R13" s="37">
        <v>0</v>
      </c>
      <c r="S13" s="38">
        <f t="shared" si="5"/>
        <v>0</v>
      </c>
      <c r="T13" s="39">
        <v>0</v>
      </c>
      <c r="U13" s="39">
        <v>0</v>
      </c>
      <c r="V13" s="13">
        <f t="shared" si="6"/>
        <v>0</v>
      </c>
      <c r="W13" s="51">
        <f t="shared" si="7"/>
        <v>250</v>
      </c>
      <c r="X13" s="84">
        <v>0</v>
      </c>
      <c r="Y13" s="53">
        <f t="shared" si="8"/>
        <v>0</v>
      </c>
    </row>
    <row r="14" spans="1:25" x14ac:dyDescent="0.2">
      <c r="A14" s="89">
        <v>6</v>
      </c>
      <c r="B14" s="87" t="s">
        <v>69</v>
      </c>
      <c r="C14" s="12" t="s">
        <v>118</v>
      </c>
      <c r="D14" s="25" t="s">
        <v>122</v>
      </c>
      <c r="E14" s="26">
        <v>47949858</v>
      </c>
      <c r="F14" s="30">
        <v>45170</v>
      </c>
      <c r="G14" s="27" t="s">
        <v>98</v>
      </c>
      <c r="H14" s="27" t="s">
        <v>104</v>
      </c>
      <c r="I14" s="95">
        <v>15</v>
      </c>
      <c r="J14" s="35">
        <v>500</v>
      </c>
      <c r="K14" s="35">
        <v>0</v>
      </c>
      <c r="L14" s="36">
        <f t="shared" si="3"/>
        <v>500</v>
      </c>
      <c r="M14" s="35">
        <v>0</v>
      </c>
      <c r="N14" s="90">
        <f t="shared" si="0"/>
        <v>0</v>
      </c>
      <c r="O14" s="73">
        <f t="shared" si="4"/>
        <v>500</v>
      </c>
      <c r="P14" s="15">
        <v>0</v>
      </c>
      <c r="Q14" s="37">
        <v>0</v>
      </c>
      <c r="R14" s="37">
        <v>0</v>
      </c>
      <c r="S14" s="38">
        <f t="shared" si="5"/>
        <v>0</v>
      </c>
      <c r="T14" s="39">
        <v>0</v>
      </c>
      <c r="U14" s="39">
        <v>0</v>
      </c>
      <c r="V14" s="13">
        <f t="shared" si="6"/>
        <v>0</v>
      </c>
      <c r="W14" s="51">
        <f t="shared" si="7"/>
        <v>250</v>
      </c>
      <c r="X14" s="84">
        <v>0</v>
      </c>
      <c r="Y14" s="53">
        <f t="shared" si="8"/>
        <v>0</v>
      </c>
    </row>
    <row r="15" spans="1:25" x14ac:dyDescent="0.2">
      <c r="A15" s="89">
        <v>7</v>
      </c>
      <c r="B15" s="87" t="s">
        <v>70</v>
      </c>
      <c r="C15" s="12" t="s">
        <v>118</v>
      </c>
      <c r="D15" s="25" t="s">
        <v>123</v>
      </c>
      <c r="E15" s="26">
        <v>74594071</v>
      </c>
      <c r="F15" s="30">
        <v>45323</v>
      </c>
      <c r="G15" s="27" t="s">
        <v>92</v>
      </c>
      <c r="H15" s="27" t="s">
        <v>105</v>
      </c>
      <c r="I15" s="95">
        <v>15</v>
      </c>
      <c r="J15" s="35">
        <v>500</v>
      </c>
      <c r="K15" s="35">
        <v>0</v>
      </c>
      <c r="L15" s="36">
        <f t="shared" si="3"/>
        <v>500</v>
      </c>
      <c r="M15" s="35">
        <v>0</v>
      </c>
      <c r="N15" s="90">
        <f t="shared" si="0"/>
        <v>0</v>
      </c>
      <c r="O15" s="73">
        <f t="shared" si="4"/>
        <v>500</v>
      </c>
      <c r="P15" s="15">
        <v>0</v>
      </c>
      <c r="Q15" s="37">
        <v>0</v>
      </c>
      <c r="R15" s="37">
        <v>0</v>
      </c>
      <c r="S15" s="38">
        <f t="shared" si="5"/>
        <v>0</v>
      </c>
      <c r="T15" s="39">
        <v>0</v>
      </c>
      <c r="U15" s="39">
        <v>0</v>
      </c>
      <c r="V15" s="13">
        <f t="shared" si="6"/>
        <v>0</v>
      </c>
      <c r="W15" s="51">
        <f t="shared" si="7"/>
        <v>250</v>
      </c>
      <c r="X15" s="84">
        <v>0</v>
      </c>
      <c r="Y15" s="53">
        <f t="shared" si="8"/>
        <v>0</v>
      </c>
    </row>
    <row r="16" spans="1:25" x14ac:dyDescent="0.2">
      <c r="A16" s="89">
        <v>7</v>
      </c>
      <c r="B16" s="87" t="s">
        <v>24</v>
      </c>
      <c r="C16" s="12" t="s">
        <v>124</v>
      </c>
      <c r="D16" s="25" t="s">
        <v>125</v>
      </c>
      <c r="E16" s="26" t="s">
        <v>99</v>
      </c>
      <c r="F16" s="30">
        <v>45536</v>
      </c>
      <c r="G16" s="27" t="s">
        <v>92</v>
      </c>
      <c r="H16" s="27" t="s">
        <v>106</v>
      </c>
      <c r="I16" s="95">
        <v>15</v>
      </c>
      <c r="J16" s="35">
        <v>500</v>
      </c>
      <c r="K16" s="35">
        <v>0</v>
      </c>
      <c r="L16" s="36">
        <f t="shared" si="3"/>
        <v>500</v>
      </c>
      <c r="M16" s="35"/>
      <c r="N16" s="90">
        <f>SUM(M16:M16)</f>
        <v>0</v>
      </c>
      <c r="O16" s="73">
        <f>+L16+N16</f>
        <v>500</v>
      </c>
      <c r="P16" s="15">
        <v>0</v>
      </c>
      <c r="Q16" s="37">
        <v>0</v>
      </c>
      <c r="R16" s="37">
        <v>0</v>
      </c>
      <c r="S16" s="38">
        <f t="shared" si="5"/>
        <v>0</v>
      </c>
      <c r="T16" s="39">
        <v>0</v>
      </c>
      <c r="U16" s="39">
        <v>0</v>
      </c>
      <c r="V16" s="13">
        <f t="shared" si="6"/>
        <v>0</v>
      </c>
      <c r="W16" s="51">
        <f>(L16/2)+N16</f>
        <v>250</v>
      </c>
      <c r="X16" s="84">
        <v>0</v>
      </c>
      <c r="Y16" s="53">
        <f t="shared" si="8"/>
        <v>0</v>
      </c>
    </row>
    <row r="17" spans="1:25" x14ac:dyDescent="0.2">
      <c r="A17" s="89">
        <v>9</v>
      </c>
      <c r="B17" s="87" t="s">
        <v>71</v>
      </c>
      <c r="C17" s="12" t="s">
        <v>128</v>
      </c>
      <c r="D17" s="25" t="s">
        <v>108</v>
      </c>
      <c r="E17" s="26">
        <v>48501696</v>
      </c>
      <c r="F17" s="30">
        <v>45962</v>
      </c>
      <c r="G17" s="27" t="s">
        <v>129</v>
      </c>
      <c r="H17" s="27" t="s">
        <v>105</v>
      </c>
      <c r="I17" s="95">
        <v>15</v>
      </c>
      <c r="J17" s="35">
        <v>500</v>
      </c>
      <c r="K17" s="35">
        <v>0</v>
      </c>
      <c r="L17" s="36">
        <f t="shared" si="3"/>
        <v>500</v>
      </c>
      <c r="M17" s="35">
        <v>0</v>
      </c>
      <c r="N17" s="90">
        <f t="shared" si="0"/>
        <v>0</v>
      </c>
      <c r="O17" s="73">
        <f t="shared" si="4"/>
        <v>500</v>
      </c>
      <c r="P17" s="15">
        <v>0</v>
      </c>
      <c r="Q17" s="37">
        <v>0</v>
      </c>
      <c r="R17" s="37">
        <v>0</v>
      </c>
      <c r="S17" s="38">
        <f t="shared" si="5"/>
        <v>0</v>
      </c>
      <c r="T17" s="39">
        <v>0</v>
      </c>
      <c r="U17" s="39">
        <v>0</v>
      </c>
      <c r="V17" s="13">
        <f t="shared" si="6"/>
        <v>0</v>
      </c>
      <c r="W17" s="51">
        <f>L17/2</f>
        <v>250</v>
      </c>
      <c r="X17" s="84">
        <v>0</v>
      </c>
      <c r="Y17" s="53">
        <f t="shared" si="8"/>
        <v>0</v>
      </c>
    </row>
    <row r="18" spans="1:25" x14ac:dyDescent="0.2">
      <c r="A18" s="89">
        <v>10</v>
      </c>
      <c r="B18" s="87" t="s">
        <v>72</v>
      </c>
      <c r="C18" s="12" t="s">
        <v>130</v>
      </c>
      <c r="D18" s="25" t="s">
        <v>107</v>
      </c>
      <c r="E18" s="26" t="s">
        <v>109</v>
      </c>
      <c r="F18" s="30">
        <v>45962</v>
      </c>
      <c r="G18" s="27" t="s">
        <v>92</v>
      </c>
      <c r="H18" s="27" t="s">
        <v>131</v>
      </c>
      <c r="I18" s="95">
        <v>9</v>
      </c>
      <c r="J18" s="35">
        <v>50</v>
      </c>
      <c r="K18" s="35">
        <v>0</v>
      </c>
      <c r="L18" s="36">
        <f t="shared" si="3"/>
        <v>50</v>
      </c>
      <c r="M18" s="35">
        <v>0</v>
      </c>
      <c r="N18" s="90">
        <f t="shared" si="0"/>
        <v>0</v>
      </c>
      <c r="O18" s="73">
        <f t="shared" si="4"/>
        <v>50</v>
      </c>
      <c r="P18" s="15">
        <v>0</v>
      </c>
      <c r="Q18" s="37">
        <v>0</v>
      </c>
      <c r="R18" s="37">
        <v>0</v>
      </c>
      <c r="S18" s="38">
        <f t="shared" si="5"/>
        <v>0</v>
      </c>
      <c r="T18" s="39">
        <v>0</v>
      </c>
      <c r="U18" s="39">
        <v>0</v>
      </c>
      <c r="V18" s="13">
        <f t="shared" si="6"/>
        <v>0</v>
      </c>
      <c r="W18" s="51">
        <f>(L18/30)*9</f>
        <v>15</v>
      </c>
      <c r="X18" s="84">
        <v>0</v>
      </c>
      <c r="Y18" s="53">
        <f t="shared" si="8"/>
        <v>0</v>
      </c>
    </row>
    <row r="19" spans="1:25" x14ac:dyDescent="0.2">
      <c r="A19" s="89">
        <v>11</v>
      </c>
      <c r="B19" s="87" t="s">
        <v>73</v>
      </c>
      <c r="C19" s="12" t="s">
        <v>132</v>
      </c>
      <c r="D19" s="25" t="s">
        <v>133</v>
      </c>
      <c r="E19" s="26">
        <v>71519589</v>
      </c>
      <c r="F19" s="30">
        <v>45962</v>
      </c>
      <c r="G19" s="27" t="s">
        <v>92</v>
      </c>
      <c r="H19" s="27" t="s">
        <v>134</v>
      </c>
      <c r="I19" s="95">
        <v>4</v>
      </c>
      <c r="J19" s="35">
        <v>50</v>
      </c>
      <c r="K19" s="35">
        <v>0</v>
      </c>
      <c r="L19" s="36">
        <f t="shared" si="3"/>
        <v>50</v>
      </c>
      <c r="M19" s="35">
        <v>0</v>
      </c>
      <c r="N19" s="90">
        <f t="shared" si="0"/>
        <v>0</v>
      </c>
      <c r="O19" s="73">
        <f t="shared" si="4"/>
        <v>50</v>
      </c>
      <c r="P19" s="15">
        <v>0</v>
      </c>
      <c r="Q19" s="37">
        <v>0</v>
      </c>
      <c r="R19" s="37">
        <v>0</v>
      </c>
      <c r="S19" s="38">
        <f t="shared" si="5"/>
        <v>0</v>
      </c>
      <c r="T19" s="39">
        <v>0</v>
      </c>
      <c r="U19" s="39">
        <v>0</v>
      </c>
      <c r="V19" s="13">
        <f t="shared" si="6"/>
        <v>0</v>
      </c>
      <c r="W19" s="51">
        <f>(L19/30)*4</f>
        <v>6.666666666666667</v>
      </c>
      <c r="X19" s="84">
        <v>0</v>
      </c>
      <c r="Y19" s="53">
        <f t="shared" si="8"/>
        <v>0</v>
      </c>
    </row>
    <row r="20" spans="1:25" ht="13.5" thickBot="1" x14ac:dyDescent="0.25">
      <c r="A20" s="89">
        <v>12</v>
      </c>
      <c r="B20" s="87" t="s">
        <v>74</v>
      </c>
      <c r="C20" s="12" t="s">
        <v>135</v>
      </c>
      <c r="D20" s="25" t="s">
        <v>110</v>
      </c>
      <c r="E20" s="26">
        <v>74143053</v>
      </c>
      <c r="F20" s="30">
        <v>45962</v>
      </c>
      <c r="G20" s="27" t="s">
        <v>92</v>
      </c>
      <c r="H20" s="27" t="s">
        <v>105</v>
      </c>
      <c r="I20" s="95">
        <v>15</v>
      </c>
      <c r="J20" s="35">
        <v>500</v>
      </c>
      <c r="K20" s="35">
        <v>0</v>
      </c>
      <c r="L20" s="36">
        <f t="shared" si="3"/>
        <v>500</v>
      </c>
      <c r="M20" s="35">
        <v>0</v>
      </c>
      <c r="N20" s="90">
        <f t="shared" si="0"/>
        <v>0</v>
      </c>
      <c r="O20" s="73">
        <f t="shared" si="4"/>
        <v>500</v>
      </c>
      <c r="P20" s="15">
        <v>0</v>
      </c>
      <c r="Q20" s="37">
        <v>0</v>
      </c>
      <c r="R20" s="37">
        <v>0</v>
      </c>
      <c r="S20" s="38">
        <f t="shared" si="5"/>
        <v>0</v>
      </c>
      <c r="T20" s="39">
        <v>0</v>
      </c>
      <c r="U20" s="39">
        <v>0</v>
      </c>
      <c r="V20" s="13">
        <f t="shared" si="6"/>
        <v>0</v>
      </c>
      <c r="W20" s="51">
        <f t="shared" ref="W20" si="9">L20/2</f>
        <v>250</v>
      </c>
      <c r="X20" s="84">
        <v>0</v>
      </c>
      <c r="Y20" s="53">
        <f t="shared" si="8"/>
        <v>0</v>
      </c>
    </row>
    <row r="21" spans="1:25" ht="13.5" thickBot="1" x14ac:dyDescent="0.25">
      <c r="J21" s="20">
        <f>SUM(J9:J20)</f>
        <v>5600</v>
      </c>
      <c r="K21" s="20">
        <f t="shared" ref="K21:T21" si="10">SUM(K9:K20)</f>
        <v>0</v>
      </c>
      <c r="L21" s="20">
        <f>SUM(L9:L20)</f>
        <v>5600</v>
      </c>
      <c r="M21" s="20">
        <f>SUM(M9:M20)</f>
        <v>0</v>
      </c>
      <c r="N21" s="20">
        <f>SUM(N9:N20)</f>
        <v>0</v>
      </c>
      <c r="O21" s="20">
        <f>SUM(O9:O20)</f>
        <v>5600</v>
      </c>
      <c r="P21" s="20">
        <f t="shared" si="10"/>
        <v>0</v>
      </c>
      <c r="Q21" s="20">
        <f t="shared" si="10"/>
        <v>0</v>
      </c>
      <c r="R21" s="20">
        <f t="shared" si="10"/>
        <v>0</v>
      </c>
      <c r="S21" s="20">
        <f t="shared" si="10"/>
        <v>0</v>
      </c>
      <c r="T21" s="20">
        <f t="shared" si="10"/>
        <v>0</v>
      </c>
      <c r="U21" s="75">
        <f>SUM(U9:U20)</f>
        <v>0</v>
      </c>
      <c r="V21" s="20">
        <f>SUM(V9:V20)</f>
        <v>0</v>
      </c>
      <c r="W21" s="20">
        <f>SUM(W9:W20)</f>
        <v>2771.6666666666665</v>
      </c>
      <c r="X21" s="20">
        <f>SUM(X9:X16)</f>
        <v>0</v>
      </c>
      <c r="Y21" s="20">
        <f>SUM(Y9:Y15)</f>
        <v>0</v>
      </c>
    </row>
    <row r="22" spans="1:25" x14ac:dyDescent="0.2">
      <c r="Q22" s="52"/>
      <c r="W22" s="21"/>
      <c r="X22" s="18"/>
    </row>
    <row r="23" spans="1:25" x14ac:dyDescent="0.2">
      <c r="Q23" s="52"/>
      <c r="W23" s="21"/>
    </row>
    <row r="24" spans="1:25" x14ac:dyDescent="0.2">
      <c r="W24" s="21"/>
    </row>
    <row r="25" spans="1:25" x14ac:dyDescent="0.2">
      <c r="W25" s="21"/>
    </row>
    <row r="26" spans="1:25" x14ac:dyDescent="0.2">
      <c r="W26" s="21"/>
    </row>
    <row r="27" spans="1:25" x14ac:dyDescent="0.2">
      <c r="W27" s="21"/>
    </row>
  </sheetData>
  <mergeCells count="8">
    <mergeCell ref="A4:Y4"/>
    <mergeCell ref="A6:A7"/>
    <mergeCell ref="B6:H6"/>
    <mergeCell ref="X6:Y6"/>
    <mergeCell ref="O6:O7"/>
    <mergeCell ref="P6:V6"/>
    <mergeCell ref="W6:W7"/>
    <mergeCell ref="J6:K6"/>
  </mergeCells>
  <phoneticPr fontId="0" type="noConversion"/>
  <printOptions horizontalCentered="1"/>
  <pageMargins left="0.19685039370078741" right="0" top="0.59055118110236227" bottom="0.59055118110236227" header="0" footer="0"/>
  <pageSetup paperSize="9" scale="50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J21"/>
  <sheetViews>
    <sheetView workbookViewId="0">
      <selection activeCell="K26" sqref="K26"/>
    </sheetView>
  </sheetViews>
  <sheetFormatPr baseColWidth="10" defaultRowHeight="12.75" x14ac:dyDescent="0.2"/>
  <cols>
    <col min="1" max="1" width="2.7109375" customWidth="1"/>
    <col min="2" max="2" width="3.28515625" bestFit="1" customWidth="1"/>
    <col min="3" max="3" width="4.85546875" bestFit="1" customWidth="1"/>
    <col min="4" max="4" width="8.140625" bestFit="1" customWidth="1"/>
    <col min="5" max="5" width="10.5703125" customWidth="1"/>
    <col min="6" max="7" width="19.5703125" customWidth="1"/>
    <col min="8" max="9" width="12.28515625" customWidth="1"/>
    <col min="10" max="10" width="13.5703125" style="17" customWidth="1"/>
  </cols>
  <sheetData>
    <row r="1" spans="1:10" x14ac:dyDescent="0.2">
      <c r="A1" s="42"/>
      <c r="B1" s="42"/>
      <c r="C1" s="42"/>
      <c r="D1" s="42"/>
      <c r="E1" s="42"/>
      <c r="F1" s="43" t="s">
        <v>95</v>
      </c>
      <c r="G1" s="42"/>
      <c r="H1" s="42"/>
      <c r="I1" s="42"/>
      <c r="J1" s="55"/>
    </row>
    <row r="2" spans="1:10" x14ac:dyDescent="0.2">
      <c r="A2" s="42"/>
      <c r="B2" s="42"/>
      <c r="C2" s="42"/>
      <c r="D2" s="42"/>
      <c r="E2" s="42"/>
      <c r="F2" s="43" t="s">
        <v>94</v>
      </c>
      <c r="G2" s="42"/>
      <c r="H2" s="42"/>
      <c r="I2" s="42"/>
      <c r="J2" s="55" t="s">
        <v>35</v>
      </c>
    </row>
    <row r="3" spans="1:10" x14ac:dyDescent="0.2">
      <c r="A3" s="42"/>
      <c r="B3" s="42"/>
      <c r="C3" s="42"/>
      <c r="D3" s="42"/>
      <c r="E3" s="42"/>
      <c r="F3" s="42"/>
      <c r="G3" s="42"/>
      <c r="H3" s="42"/>
      <c r="I3" s="42"/>
      <c r="J3" s="55"/>
    </row>
    <row r="4" spans="1:10" x14ac:dyDescent="0.2">
      <c r="A4" s="42"/>
      <c r="B4" s="106" t="s">
        <v>62</v>
      </c>
      <c r="C4" s="106"/>
      <c r="D4" s="106"/>
      <c r="E4" s="106"/>
      <c r="F4" s="106"/>
      <c r="G4" s="106"/>
      <c r="H4" s="106"/>
      <c r="I4" s="106"/>
      <c r="J4" s="106"/>
    </row>
    <row r="5" spans="1:10" x14ac:dyDescent="0.2">
      <c r="A5" s="42"/>
      <c r="B5" s="107" t="s">
        <v>86</v>
      </c>
      <c r="C5" s="107"/>
      <c r="D5" s="107"/>
      <c r="E5" s="107"/>
      <c r="F5" s="107"/>
      <c r="G5" s="107"/>
      <c r="H5" s="107"/>
      <c r="I5" s="107"/>
      <c r="J5" s="107"/>
    </row>
    <row r="6" spans="1:10" x14ac:dyDescent="0.2">
      <c r="A6" s="42"/>
      <c r="B6" s="43"/>
      <c r="C6" s="43"/>
      <c r="D6" s="42"/>
      <c r="E6" s="43"/>
      <c r="F6" s="43"/>
      <c r="G6" s="43"/>
      <c r="H6" s="43"/>
      <c r="I6" s="43"/>
      <c r="J6" s="56"/>
    </row>
    <row r="7" spans="1:10" ht="25.5" x14ac:dyDescent="0.2">
      <c r="A7" s="42"/>
      <c r="B7" s="57" t="s">
        <v>36</v>
      </c>
      <c r="C7" s="67" t="s">
        <v>6</v>
      </c>
      <c r="D7" s="57" t="s">
        <v>49</v>
      </c>
      <c r="E7" s="57" t="s">
        <v>50</v>
      </c>
      <c r="F7" s="67" t="s">
        <v>7</v>
      </c>
      <c r="G7" s="58" t="s">
        <v>51</v>
      </c>
      <c r="H7" s="69" t="s">
        <v>4</v>
      </c>
      <c r="I7" s="60" t="s">
        <v>54</v>
      </c>
      <c r="J7" s="60" t="s">
        <v>53</v>
      </c>
    </row>
    <row r="8" spans="1:10" x14ac:dyDescent="0.2">
      <c r="A8" s="42"/>
      <c r="B8" s="68">
        <v>1</v>
      </c>
      <c r="C8" s="76" t="s">
        <v>21</v>
      </c>
      <c r="D8" s="23" t="s">
        <v>37</v>
      </c>
      <c r="E8" s="61" t="e">
        <f t="shared" ref="E8:E19" si="0">IF(C8&lt;&gt;"",VLOOKUP(C8,DATAG,4,0),"")</f>
        <v>#REF!</v>
      </c>
      <c r="F8" s="61" t="e">
        <f>IF(C8&lt;&gt;"",VLOOKUP(C8,DATAG,2,0),"")</f>
        <v>#REF!</v>
      </c>
      <c r="G8" s="61" t="e">
        <f>IF(C8&lt;&gt;"",VLOOKUP(C8,DATAG,3,0),"")</f>
        <v>#REF!</v>
      </c>
      <c r="H8" s="16" t="e">
        <f>IF(C8&lt;&gt;"",VLOOKUP(C8,DATAG,23,0),"")</f>
        <v>#REF!</v>
      </c>
      <c r="I8" s="34">
        <v>0</v>
      </c>
      <c r="J8" s="34"/>
    </row>
    <row r="9" spans="1:10" x14ac:dyDescent="0.2">
      <c r="A9" s="42"/>
      <c r="B9" s="68">
        <v>2</v>
      </c>
      <c r="C9" s="76" t="s">
        <v>22</v>
      </c>
      <c r="D9" s="23" t="s">
        <v>37</v>
      </c>
      <c r="E9" s="61" t="e">
        <f t="shared" si="0"/>
        <v>#REF!</v>
      </c>
      <c r="F9" s="61" t="e">
        <f t="shared" ref="F9:F19" si="1">IF(C9&lt;&gt;"",VLOOKUP(C9,DATAG,2,0),"")</f>
        <v>#REF!</v>
      </c>
      <c r="G9" s="61" t="e">
        <f t="shared" ref="G9:G19" si="2">IF(C9&lt;&gt;"",VLOOKUP(C9,DATAG,3,0),"")</f>
        <v>#REF!</v>
      </c>
      <c r="H9" s="16" t="e">
        <f t="shared" ref="H9:H19" si="3">IF(C9&lt;&gt;"",VLOOKUP(C9,DATAG,23,0),"")</f>
        <v>#REF!</v>
      </c>
      <c r="I9" s="34"/>
      <c r="J9" s="34"/>
    </row>
    <row r="10" spans="1:10" x14ac:dyDescent="0.2">
      <c r="A10" s="42"/>
      <c r="B10" s="68">
        <v>3</v>
      </c>
      <c r="C10" s="76" t="s">
        <v>67</v>
      </c>
      <c r="D10" s="23" t="s">
        <v>37</v>
      </c>
      <c r="E10" s="61" t="e">
        <f t="shared" si="0"/>
        <v>#REF!</v>
      </c>
      <c r="F10" s="61" t="e">
        <f t="shared" si="1"/>
        <v>#REF!</v>
      </c>
      <c r="G10" s="61" t="e">
        <f t="shared" si="2"/>
        <v>#REF!</v>
      </c>
      <c r="H10" s="16" t="e">
        <f t="shared" si="3"/>
        <v>#REF!</v>
      </c>
      <c r="I10" s="34"/>
      <c r="J10" s="34"/>
    </row>
    <row r="11" spans="1:10" x14ac:dyDescent="0.2">
      <c r="A11" s="42"/>
      <c r="B11" s="68">
        <v>4</v>
      </c>
      <c r="C11" s="76" t="s">
        <v>68</v>
      </c>
      <c r="D11" s="23" t="s">
        <v>37</v>
      </c>
      <c r="E11" s="61" t="e">
        <f t="shared" si="0"/>
        <v>#REF!</v>
      </c>
      <c r="F11" s="61" t="e">
        <f t="shared" si="1"/>
        <v>#REF!</v>
      </c>
      <c r="G11" s="61" t="e">
        <f t="shared" si="2"/>
        <v>#REF!</v>
      </c>
      <c r="H11" s="16" t="e">
        <f t="shared" si="3"/>
        <v>#REF!</v>
      </c>
      <c r="I11" s="34"/>
      <c r="J11" s="34"/>
    </row>
    <row r="12" spans="1:10" x14ac:dyDescent="0.2">
      <c r="A12" s="42"/>
      <c r="B12" s="68">
        <v>5</v>
      </c>
      <c r="C12" s="76" t="s">
        <v>23</v>
      </c>
      <c r="D12" s="23" t="s">
        <v>37</v>
      </c>
      <c r="E12" s="61" t="e">
        <f t="shared" si="0"/>
        <v>#REF!</v>
      </c>
      <c r="F12" s="61" t="e">
        <f t="shared" si="1"/>
        <v>#REF!</v>
      </c>
      <c r="G12" s="61" t="e">
        <f t="shared" si="2"/>
        <v>#REF!</v>
      </c>
      <c r="H12" s="16" t="e">
        <f t="shared" si="3"/>
        <v>#REF!</v>
      </c>
      <c r="I12" s="34"/>
      <c r="J12" s="34"/>
    </row>
    <row r="13" spans="1:10" x14ac:dyDescent="0.2">
      <c r="A13" s="42"/>
      <c r="B13" s="68">
        <v>6</v>
      </c>
      <c r="C13" s="76" t="s">
        <v>69</v>
      </c>
      <c r="D13" s="23" t="s">
        <v>37</v>
      </c>
      <c r="E13" s="61" t="e">
        <f t="shared" si="0"/>
        <v>#REF!</v>
      </c>
      <c r="F13" s="61" t="e">
        <f t="shared" si="1"/>
        <v>#REF!</v>
      </c>
      <c r="G13" s="61" t="e">
        <f t="shared" si="2"/>
        <v>#REF!</v>
      </c>
      <c r="H13" s="16" t="e">
        <f t="shared" si="3"/>
        <v>#REF!</v>
      </c>
      <c r="I13" s="34"/>
      <c r="J13" s="34"/>
    </row>
    <row r="14" spans="1:10" x14ac:dyDescent="0.2">
      <c r="A14" s="42"/>
      <c r="B14" s="68">
        <v>7</v>
      </c>
      <c r="C14" s="76" t="s">
        <v>70</v>
      </c>
      <c r="D14" s="23" t="s">
        <v>37</v>
      </c>
      <c r="E14" s="61" t="e">
        <f t="shared" si="0"/>
        <v>#REF!</v>
      </c>
      <c r="F14" s="61" t="e">
        <f t="shared" si="1"/>
        <v>#REF!</v>
      </c>
      <c r="G14" s="61" t="e">
        <f t="shared" si="2"/>
        <v>#REF!</v>
      </c>
      <c r="H14" s="16" t="e">
        <f t="shared" si="3"/>
        <v>#REF!</v>
      </c>
      <c r="I14" s="34"/>
      <c r="J14" s="34"/>
    </row>
    <row r="15" spans="1:10" x14ac:dyDescent="0.2">
      <c r="A15" s="42"/>
      <c r="B15" s="68">
        <v>8</v>
      </c>
      <c r="C15" s="76" t="s">
        <v>24</v>
      </c>
      <c r="D15" s="23" t="s">
        <v>37</v>
      </c>
      <c r="E15" s="61" t="e">
        <f t="shared" si="0"/>
        <v>#REF!</v>
      </c>
      <c r="F15" s="61" t="e">
        <f t="shared" si="1"/>
        <v>#REF!</v>
      </c>
      <c r="G15" s="61" t="e">
        <f t="shared" si="2"/>
        <v>#REF!</v>
      </c>
      <c r="H15" s="16" t="e">
        <f t="shared" si="3"/>
        <v>#REF!</v>
      </c>
      <c r="I15" s="34"/>
      <c r="J15" s="34"/>
    </row>
    <row r="16" spans="1:10" x14ac:dyDescent="0.2">
      <c r="A16" s="42"/>
      <c r="B16" s="68">
        <v>9</v>
      </c>
      <c r="C16" s="76" t="s">
        <v>71</v>
      </c>
      <c r="D16" s="23" t="s">
        <v>37</v>
      </c>
      <c r="E16" s="61" t="e">
        <f t="shared" si="0"/>
        <v>#REF!</v>
      </c>
      <c r="F16" s="61" t="e">
        <f t="shared" si="1"/>
        <v>#REF!</v>
      </c>
      <c r="G16" s="61" t="e">
        <f t="shared" si="2"/>
        <v>#REF!</v>
      </c>
      <c r="H16" s="16" t="e">
        <f t="shared" si="3"/>
        <v>#REF!</v>
      </c>
      <c r="I16" s="34"/>
      <c r="J16" s="34"/>
    </row>
    <row r="17" spans="1:10" x14ac:dyDescent="0.2">
      <c r="A17" s="42"/>
      <c r="B17" s="68">
        <v>10</v>
      </c>
      <c r="C17" s="76" t="s">
        <v>72</v>
      </c>
      <c r="D17" s="23" t="s">
        <v>37</v>
      </c>
      <c r="E17" s="61" t="e">
        <f t="shared" si="0"/>
        <v>#REF!</v>
      </c>
      <c r="F17" s="61" t="e">
        <f t="shared" si="1"/>
        <v>#REF!</v>
      </c>
      <c r="G17" s="61" t="e">
        <f t="shared" si="2"/>
        <v>#REF!</v>
      </c>
      <c r="H17" s="16" t="e">
        <f t="shared" si="3"/>
        <v>#REF!</v>
      </c>
      <c r="I17" s="34"/>
      <c r="J17" s="34"/>
    </row>
    <row r="18" spans="1:10" x14ac:dyDescent="0.2">
      <c r="A18" s="42"/>
      <c r="B18" s="68">
        <v>11</v>
      </c>
      <c r="C18" s="76" t="s">
        <v>73</v>
      </c>
      <c r="D18" s="23" t="s">
        <v>37</v>
      </c>
      <c r="E18" s="61" t="e">
        <f t="shared" si="0"/>
        <v>#REF!</v>
      </c>
      <c r="F18" s="61" t="e">
        <f t="shared" si="1"/>
        <v>#REF!</v>
      </c>
      <c r="G18" s="61" t="e">
        <f t="shared" si="2"/>
        <v>#REF!</v>
      </c>
      <c r="H18" s="16" t="e">
        <f t="shared" si="3"/>
        <v>#REF!</v>
      </c>
      <c r="I18" s="34"/>
      <c r="J18" s="34"/>
    </row>
    <row r="19" spans="1:10" x14ac:dyDescent="0.2">
      <c r="A19" s="42"/>
      <c r="B19" s="68">
        <v>12</v>
      </c>
      <c r="C19" s="76" t="s">
        <v>74</v>
      </c>
      <c r="D19" s="23" t="s">
        <v>37</v>
      </c>
      <c r="E19" s="61" t="e">
        <f t="shared" si="0"/>
        <v>#REF!</v>
      </c>
      <c r="F19" s="61" t="e">
        <f t="shared" si="1"/>
        <v>#REF!</v>
      </c>
      <c r="G19" s="61" t="e">
        <f t="shared" si="2"/>
        <v>#REF!</v>
      </c>
      <c r="H19" s="16" t="e">
        <f t="shared" si="3"/>
        <v>#REF!</v>
      </c>
      <c r="I19" s="34"/>
      <c r="J19" s="34"/>
    </row>
    <row r="20" spans="1:10" x14ac:dyDescent="0.2">
      <c r="A20" s="42"/>
      <c r="B20" s="62"/>
      <c r="C20" s="63"/>
      <c r="D20" s="63"/>
      <c r="E20" s="63"/>
      <c r="F20" s="64"/>
      <c r="G20" s="64"/>
      <c r="H20" s="65"/>
      <c r="I20" s="66"/>
      <c r="J20" s="66"/>
    </row>
    <row r="21" spans="1:10" x14ac:dyDescent="0.2">
      <c r="A21" s="42"/>
      <c r="B21" s="108" t="s">
        <v>38</v>
      </c>
      <c r="C21" s="109"/>
      <c r="D21" s="109"/>
      <c r="E21" s="109"/>
      <c r="F21" s="109"/>
      <c r="G21" s="109"/>
      <c r="H21" s="59"/>
      <c r="I21" s="70">
        <f>SUM(I8:I20)</f>
        <v>0</v>
      </c>
      <c r="J21" s="70">
        <f>SUM(J8:J20)</f>
        <v>0</v>
      </c>
    </row>
  </sheetData>
  <autoFilter ref="A7:J7" xr:uid="{00000000-0009-0000-0000-000001000000}">
    <sortState xmlns:xlrd2="http://schemas.microsoft.com/office/spreadsheetml/2017/richdata2" ref="A8:J24">
      <sortCondition ref="B7"/>
    </sortState>
  </autoFilter>
  <mergeCells count="3">
    <mergeCell ref="B4:J4"/>
    <mergeCell ref="B5:J5"/>
    <mergeCell ref="B21:G2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N23"/>
  <sheetViews>
    <sheetView workbookViewId="0">
      <selection activeCell="F1" sqref="F1:F2"/>
    </sheetView>
  </sheetViews>
  <sheetFormatPr baseColWidth="10" defaultRowHeight="12.75" x14ac:dyDescent="0.2"/>
  <cols>
    <col min="1" max="1" width="2.7109375" customWidth="1"/>
    <col min="2" max="2" width="3.28515625" bestFit="1" customWidth="1"/>
    <col min="3" max="3" width="4.85546875" bestFit="1" customWidth="1"/>
    <col min="4" max="4" width="8.140625" bestFit="1" customWidth="1"/>
    <col min="5" max="5" width="10.5703125" customWidth="1"/>
    <col min="6" max="7" width="19.5703125" customWidth="1"/>
    <col min="8" max="8" width="12.28515625" customWidth="1"/>
    <col min="9" max="9" width="9.42578125" customWidth="1"/>
    <col min="10" max="10" width="12.28515625" customWidth="1"/>
    <col min="11" max="11" width="5.85546875" bestFit="1" customWidth="1"/>
    <col min="12" max="13" width="10.7109375" customWidth="1"/>
    <col min="14" max="14" width="12.28515625" customWidth="1"/>
  </cols>
  <sheetData>
    <row r="1" spans="1:14" x14ac:dyDescent="0.2">
      <c r="A1" s="42"/>
      <c r="B1" s="42"/>
      <c r="C1" s="42"/>
      <c r="D1" s="42"/>
      <c r="E1" s="42"/>
      <c r="F1" s="43" t="s">
        <v>95</v>
      </c>
      <c r="G1" s="42"/>
      <c r="H1" s="42"/>
      <c r="I1" s="42"/>
      <c r="J1" s="42"/>
      <c r="K1" s="42"/>
      <c r="L1" s="42"/>
      <c r="M1" s="42"/>
      <c r="N1" s="42"/>
    </row>
    <row r="2" spans="1:14" x14ac:dyDescent="0.2">
      <c r="A2" s="42"/>
      <c r="B2" s="42"/>
      <c r="C2" s="42"/>
      <c r="D2" s="42"/>
      <c r="E2" s="42"/>
      <c r="F2" s="43" t="s">
        <v>94</v>
      </c>
      <c r="G2" s="42"/>
      <c r="H2" s="42"/>
      <c r="I2" s="42"/>
      <c r="J2" s="42"/>
      <c r="K2" s="42"/>
      <c r="L2" s="42"/>
      <c r="M2" s="42"/>
      <c r="N2" s="42"/>
    </row>
    <row r="3" spans="1:14" x14ac:dyDescent="0.2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4" spans="1:14" x14ac:dyDescent="0.2">
      <c r="A4" s="42"/>
      <c r="B4" s="106" t="s">
        <v>81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</row>
    <row r="5" spans="1:14" x14ac:dyDescent="0.2">
      <c r="A5" s="42"/>
      <c r="B5" s="107" t="s">
        <v>52</v>
      </c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</row>
    <row r="6" spans="1:14" x14ac:dyDescent="0.2">
      <c r="A6" s="42"/>
      <c r="B6" s="43"/>
      <c r="C6" s="43"/>
      <c r="D6" s="42"/>
      <c r="E6" s="43"/>
      <c r="F6" s="43"/>
      <c r="G6" s="43"/>
      <c r="H6" s="43"/>
      <c r="I6" s="43"/>
      <c r="J6" s="43"/>
      <c r="K6" s="43"/>
      <c r="L6" s="82" t="s">
        <v>66</v>
      </c>
      <c r="M6" s="82"/>
      <c r="N6" s="83">
        <v>30</v>
      </c>
    </row>
    <row r="7" spans="1:14" s="81" customFormat="1" ht="38.25" x14ac:dyDescent="0.2">
      <c r="A7" s="78"/>
      <c r="B7" s="79" t="s">
        <v>36</v>
      </c>
      <c r="C7" s="80" t="s">
        <v>6</v>
      </c>
      <c r="D7" s="79" t="s">
        <v>49</v>
      </c>
      <c r="E7" s="79" t="s">
        <v>50</v>
      </c>
      <c r="F7" s="80" t="s">
        <v>7</v>
      </c>
      <c r="G7" s="69" t="s">
        <v>51</v>
      </c>
      <c r="H7" s="69" t="s">
        <v>4</v>
      </c>
      <c r="I7" s="60" t="s">
        <v>76</v>
      </c>
      <c r="J7" s="60" t="s">
        <v>77</v>
      </c>
      <c r="K7" s="60" t="s">
        <v>78</v>
      </c>
      <c r="L7" s="60" t="s">
        <v>80</v>
      </c>
      <c r="M7" s="60" t="s">
        <v>91</v>
      </c>
      <c r="N7" s="60" t="s">
        <v>79</v>
      </c>
    </row>
    <row r="8" spans="1:14" x14ac:dyDescent="0.2">
      <c r="A8" s="42"/>
      <c r="B8" s="68">
        <v>1</v>
      </c>
      <c r="C8" s="76" t="s">
        <v>21</v>
      </c>
      <c r="D8" s="23" t="s">
        <v>37</v>
      </c>
      <c r="E8" s="61" t="e">
        <f t="shared" ref="E8:E19" si="0">IF(C8&lt;&gt;"",VLOOKUP(C8,DATAG,4,0),"")</f>
        <v>#REF!</v>
      </c>
      <c r="F8" s="61" t="e">
        <f t="shared" ref="F8:F19" si="1">IF(C8&lt;&gt;"",VLOOKUP(C8,DATAG,2,0),"")</f>
        <v>#REF!</v>
      </c>
      <c r="G8" s="61" t="e">
        <f t="shared" ref="G8:G19" si="2">IF(C8&lt;&gt;"",VLOOKUP(C8,DATAG,3,0),"")</f>
        <v>#REF!</v>
      </c>
      <c r="H8" s="16" t="e">
        <f t="shared" ref="H8:H19" si="3">IF(C8&lt;&gt;"",VLOOKUP(C8,DATAG,23,0),"")</f>
        <v>#REF!</v>
      </c>
      <c r="I8" s="16"/>
      <c r="J8" s="16"/>
      <c r="K8" s="31" t="e">
        <f t="shared" ref="K8:K19" si="4">IF(C8&lt;&gt;"",VLOOKUP(C8,ASISTENCIA,4,0),"")</f>
        <v>#REF!</v>
      </c>
      <c r="L8" s="31" t="e">
        <f t="shared" ref="L8:L19" si="5">IF(C8&lt;&gt;"",VLOOKUP(C8,REMUNERACIONES,7,0),"")</f>
        <v>#REF!</v>
      </c>
      <c r="M8" s="31" t="e">
        <f t="shared" ref="M8:M19" si="6">IF(C8&lt;&gt;"",VLOOKUP(C8,REMUNERACIONES,8,0),"")</f>
        <v>#REF!</v>
      </c>
      <c r="N8" s="34" t="e">
        <f t="shared" ref="N8:N19" si="7">(L8/$N$6*K8)+(M8/$N$6*K8)</f>
        <v>#REF!</v>
      </c>
    </row>
    <row r="9" spans="1:14" x14ac:dyDescent="0.2">
      <c r="A9" s="42"/>
      <c r="B9" s="68">
        <v>2</v>
      </c>
      <c r="C9" s="76" t="s">
        <v>22</v>
      </c>
      <c r="D9" s="23" t="s">
        <v>37</v>
      </c>
      <c r="E9" s="61" t="e">
        <f t="shared" si="0"/>
        <v>#REF!</v>
      </c>
      <c r="F9" s="61" t="e">
        <f t="shared" si="1"/>
        <v>#REF!</v>
      </c>
      <c r="G9" s="61" t="e">
        <f t="shared" si="2"/>
        <v>#REF!</v>
      </c>
      <c r="H9" s="16" t="e">
        <f t="shared" si="3"/>
        <v>#REF!</v>
      </c>
      <c r="I9" s="16"/>
      <c r="J9" s="16"/>
      <c r="K9" s="31" t="e">
        <f t="shared" si="4"/>
        <v>#REF!</v>
      </c>
      <c r="L9" s="31" t="e">
        <f t="shared" si="5"/>
        <v>#REF!</v>
      </c>
      <c r="M9" s="31" t="e">
        <f t="shared" si="6"/>
        <v>#REF!</v>
      </c>
      <c r="N9" s="34" t="e">
        <f t="shared" si="7"/>
        <v>#REF!</v>
      </c>
    </row>
    <row r="10" spans="1:14" x14ac:dyDescent="0.2">
      <c r="A10" s="42"/>
      <c r="B10" s="68">
        <v>3</v>
      </c>
      <c r="C10" s="76" t="s">
        <v>67</v>
      </c>
      <c r="D10" s="23" t="s">
        <v>37</v>
      </c>
      <c r="E10" s="61" t="e">
        <f t="shared" si="0"/>
        <v>#REF!</v>
      </c>
      <c r="F10" s="61" t="e">
        <f t="shared" si="1"/>
        <v>#REF!</v>
      </c>
      <c r="G10" s="61" t="e">
        <f t="shared" si="2"/>
        <v>#REF!</v>
      </c>
      <c r="H10" s="16" t="e">
        <f t="shared" si="3"/>
        <v>#REF!</v>
      </c>
      <c r="I10" s="16"/>
      <c r="J10" s="16"/>
      <c r="K10" s="31" t="e">
        <f t="shared" si="4"/>
        <v>#REF!</v>
      </c>
      <c r="L10" s="31" t="e">
        <f t="shared" si="5"/>
        <v>#REF!</v>
      </c>
      <c r="M10" s="31" t="e">
        <f t="shared" si="6"/>
        <v>#REF!</v>
      </c>
      <c r="N10" s="34" t="e">
        <f t="shared" si="7"/>
        <v>#REF!</v>
      </c>
    </row>
    <row r="11" spans="1:14" x14ac:dyDescent="0.2">
      <c r="A11" s="42"/>
      <c r="B11" s="68">
        <v>4</v>
      </c>
      <c r="C11" s="76" t="s">
        <v>68</v>
      </c>
      <c r="D11" s="23" t="s">
        <v>37</v>
      </c>
      <c r="E11" s="61" t="e">
        <f t="shared" si="0"/>
        <v>#REF!</v>
      </c>
      <c r="F11" s="61" t="e">
        <f t="shared" si="1"/>
        <v>#REF!</v>
      </c>
      <c r="G11" s="61" t="e">
        <f t="shared" si="2"/>
        <v>#REF!</v>
      </c>
      <c r="H11" s="16" t="e">
        <f t="shared" si="3"/>
        <v>#REF!</v>
      </c>
      <c r="I11" s="16"/>
      <c r="J11" s="16"/>
      <c r="K11" s="31" t="e">
        <f t="shared" si="4"/>
        <v>#REF!</v>
      </c>
      <c r="L11" s="31" t="e">
        <f t="shared" si="5"/>
        <v>#REF!</v>
      </c>
      <c r="M11" s="31" t="e">
        <f t="shared" si="6"/>
        <v>#REF!</v>
      </c>
      <c r="N11" s="34" t="e">
        <f t="shared" si="7"/>
        <v>#REF!</v>
      </c>
    </row>
    <row r="12" spans="1:14" x14ac:dyDescent="0.2">
      <c r="A12" s="42"/>
      <c r="B12" s="68">
        <v>5</v>
      </c>
      <c r="C12" s="76" t="s">
        <v>23</v>
      </c>
      <c r="D12" s="23" t="s">
        <v>37</v>
      </c>
      <c r="E12" s="61" t="e">
        <f t="shared" si="0"/>
        <v>#REF!</v>
      </c>
      <c r="F12" s="61" t="e">
        <f t="shared" si="1"/>
        <v>#REF!</v>
      </c>
      <c r="G12" s="61" t="e">
        <f t="shared" si="2"/>
        <v>#REF!</v>
      </c>
      <c r="H12" s="16" t="e">
        <f t="shared" si="3"/>
        <v>#REF!</v>
      </c>
      <c r="I12" s="16"/>
      <c r="J12" s="16"/>
      <c r="K12" s="31" t="e">
        <f t="shared" si="4"/>
        <v>#REF!</v>
      </c>
      <c r="L12" s="31" t="e">
        <f t="shared" si="5"/>
        <v>#REF!</v>
      </c>
      <c r="M12" s="31" t="e">
        <f t="shared" si="6"/>
        <v>#REF!</v>
      </c>
      <c r="N12" s="34" t="e">
        <f t="shared" si="7"/>
        <v>#REF!</v>
      </c>
    </row>
    <row r="13" spans="1:14" x14ac:dyDescent="0.2">
      <c r="A13" s="42"/>
      <c r="B13" s="68">
        <v>6</v>
      </c>
      <c r="C13" s="76" t="s">
        <v>69</v>
      </c>
      <c r="D13" s="23" t="s">
        <v>37</v>
      </c>
      <c r="E13" s="61" t="e">
        <f t="shared" si="0"/>
        <v>#REF!</v>
      </c>
      <c r="F13" s="61" t="e">
        <f t="shared" si="1"/>
        <v>#REF!</v>
      </c>
      <c r="G13" s="61" t="e">
        <f t="shared" si="2"/>
        <v>#REF!</v>
      </c>
      <c r="H13" s="16" t="e">
        <f t="shared" si="3"/>
        <v>#REF!</v>
      </c>
      <c r="I13" s="16"/>
      <c r="J13" s="16"/>
      <c r="K13" s="31" t="e">
        <f t="shared" si="4"/>
        <v>#REF!</v>
      </c>
      <c r="L13" s="31" t="e">
        <f t="shared" si="5"/>
        <v>#REF!</v>
      </c>
      <c r="M13" s="31" t="e">
        <f t="shared" si="6"/>
        <v>#REF!</v>
      </c>
      <c r="N13" s="34" t="e">
        <f t="shared" si="7"/>
        <v>#REF!</v>
      </c>
    </row>
    <row r="14" spans="1:14" x14ac:dyDescent="0.2">
      <c r="A14" s="42"/>
      <c r="B14" s="68">
        <v>7</v>
      </c>
      <c r="C14" s="76" t="s">
        <v>70</v>
      </c>
      <c r="D14" s="23" t="s">
        <v>37</v>
      </c>
      <c r="E14" s="61" t="e">
        <f t="shared" si="0"/>
        <v>#REF!</v>
      </c>
      <c r="F14" s="61" t="e">
        <f t="shared" si="1"/>
        <v>#REF!</v>
      </c>
      <c r="G14" s="61" t="e">
        <f t="shared" si="2"/>
        <v>#REF!</v>
      </c>
      <c r="H14" s="16" t="e">
        <f t="shared" si="3"/>
        <v>#REF!</v>
      </c>
      <c r="I14" s="16"/>
      <c r="J14" s="16"/>
      <c r="K14" s="31" t="e">
        <f t="shared" si="4"/>
        <v>#REF!</v>
      </c>
      <c r="L14" s="31" t="e">
        <f t="shared" si="5"/>
        <v>#REF!</v>
      </c>
      <c r="M14" s="31" t="e">
        <f t="shared" si="6"/>
        <v>#REF!</v>
      </c>
      <c r="N14" s="34" t="e">
        <f t="shared" si="7"/>
        <v>#REF!</v>
      </c>
    </row>
    <row r="15" spans="1:14" x14ac:dyDescent="0.2">
      <c r="A15" s="42"/>
      <c r="B15" s="68">
        <v>8</v>
      </c>
      <c r="C15" s="76" t="s">
        <v>24</v>
      </c>
      <c r="D15" s="23" t="s">
        <v>37</v>
      </c>
      <c r="E15" s="61" t="e">
        <f t="shared" si="0"/>
        <v>#REF!</v>
      </c>
      <c r="F15" s="61" t="e">
        <f t="shared" si="1"/>
        <v>#REF!</v>
      </c>
      <c r="G15" s="61" t="e">
        <f t="shared" si="2"/>
        <v>#REF!</v>
      </c>
      <c r="H15" s="16" t="e">
        <f t="shared" si="3"/>
        <v>#REF!</v>
      </c>
      <c r="I15" s="16"/>
      <c r="J15" s="16"/>
      <c r="K15" s="31" t="e">
        <f t="shared" si="4"/>
        <v>#REF!</v>
      </c>
      <c r="L15" s="31" t="e">
        <f t="shared" si="5"/>
        <v>#REF!</v>
      </c>
      <c r="M15" s="31" t="e">
        <f t="shared" si="6"/>
        <v>#REF!</v>
      </c>
      <c r="N15" s="34" t="e">
        <f t="shared" si="7"/>
        <v>#REF!</v>
      </c>
    </row>
    <row r="16" spans="1:14" x14ac:dyDescent="0.2">
      <c r="A16" s="42"/>
      <c r="B16" s="68">
        <v>9</v>
      </c>
      <c r="C16" s="76" t="s">
        <v>71</v>
      </c>
      <c r="D16" s="23" t="s">
        <v>37</v>
      </c>
      <c r="E16" s="61" t="e">
        <f t="shared" si="0"/>
        <v>#REF!</v>
      </c>
      <c r="F16" s="61" t="e">
        <f t="shared" si="1"/>
        <v>#REF!</v>
      </c>
      <c r="G16" s="61" t="e">
        <f t="shared" si="2"/>
        <v>#REF!</v>
      </c>
      <c r="H16" s="16" t="e">
        <f t="shared" si="3"/>
        <v>#REF!</v>
      </c>
      <c r="I16" s="16"/>
      <c r="J16" s="16"/>
      <c r="K16" s="31" t="e">
        <f t="shared" si="4"/>
        <v>#REF!</v>
      </c>
      <c r="L16" s="31" t="e">
        <f t="shared" si="5"/>
        <v>#REF!</v>
      </c>
      <c r="M16" s="31" t="e">
        <f t="shared" si="6"/>
        <v>#REF!</v>
      </c>
      <c r="N16" s="34" t="e">
        <f t="shared" si="7"/>
        <v>#REF!</v>
      </c>
    </row>
    <row r="17" spans="1:14" x14ac:dyDescent="0.2">
      <c r="A17" s="42"/>
      <c r="B17" s="68">
        <v>10</v>
      </c>
      <c r="C17" s="76" t="s">
        <v>72</v>
      </c>
      <c r="D17" s="23" t="s">
        <v>37</v>
      </c>
      <c r="E17" s="61" t="e">
        <f t="shared" si="0"/>
        <v>#REF!</v>
      </c>
      <c r="F17" s="61" t="e">
        <f t="shared" si="1"/>
        <v>#REF!</v>
      </c>
      <c r="G17" s="61" t="e">
        <f t="shared" si="2"/>
        <v>#REF!</v>
      </c>
      <c r="H17" s="16" t="e">
        <f t="shared" si="3"/>
        <v>#REF!</v>
      </c>
      <c r="I17" s="16"/>
      <c r="J17" s="16"/>
      <c r="K17" s="31" t="e">
        <f t="shared" si="4"/>
        <v>#REF!</v>
      </c>
      <c r="L17" s="31" t="e">
        <f t="shared" si="5"/>
        <v>#REF!</v>
      </c>
      <c r="M17" s="31" t="e">
        <f t="shared" si="6"/>
        <v>#REF!</v>
      </c>
      <c r="N17" s="34" t="e">
        <f t="shared" si="7"/>
        <v>#REF!</v>
      </c>
    </row>
    <row r="18" spans="1:14" x14ac:dyDescent="0.2">
      <c r="A18" s="42"/>
      <c r="B18" s="68">
        <v>11</v>
      </c>
      <c r="C18" s="76" t="s">
        <v>73</v>
      </c>
      <c r="D18" s="23" t="s">
        <v>37</v>
      </c>
      <c r="E18" s="61" t="e">
        <f t="shared" si="0"/>
        <v>#REF!</v>
      </c>
      <c r="F18" s="61" t="e">
        <f t="shared" si="1"/>
        <v>#REF!</v>
      </c>
      <c r="G18" s="61" t="e">
        <f t="shared" si="2"/>
        <v>#REF!</v>
      </c>
      <c r="H18" s="16" t="e">
        <f t="shared" si="3"/>
        <v>#REF!</v>
      </c>
      <c r="I18" s="16"/>
      <c r="J18" s="16"/>
      <c r="K18" s="31" t="e">
        <f t="shared" si="4"/>
        <v>#REF!</v>
      </c>
      <c r="L18" s="31" t="e">
        <f t="shared" si="5"/>
        <v>#REF!</v>
      </c>
      <c r="M18" s="31" t="e">
        <f t="shared" si="6"/>
        <v>#REF!</v>
      </c>
      <c r="N18" s="34" t="e">
        <f t="shared" si="7"/>
        <v>#REF!</v>
      </c>
    </row>
    <row r="19" spans="1:14" x14ac:dyDescent="0.2">
      <c r="A19" s="42"/>
      <c r="B19" s="68">
        <v>12</v>
      </c>
      <c r="C19" s="76" t="s">
        <v>74</v>
      </c>
      <c r="D19" s="23" t="s">
        <v>37</v>
      </c>
      <c r="E19" s="61" t="e">
        <f t="shared" si="0"/>
        <v>#REF!</v>
      </c>
      <c r="F19" s="61" t="e">
        <f t="shared" si="1"/>
        <v>#REF!</v>
      </c>
      <c r="G19" s="61" t="e">
        <f t="shared" si="2"/>
        <v>#REF!</v>
      </c>
      <c r="H19" s="16" t="e">
        <f t="shared" si="3"/>
        <v>#REF!</v>
      </c>
      <c r="I19" s="16"/>
      <c r="J19" s="16"/>
      <c r="K19" s="31" t="e">
        <f t="shared" si="4"/>
        <v>#REF!</v>
      </c>
      <c r="L19" s="31" t="e">
        <f t="shared" si="5"/>
        <v>#REF!</v>
      </c>
      <c r="M19" s="31" t="e">
        <f t="shared" si="6"/>
        <v>#REF!</v>
      </c>
      <c r="N19" s="34" t="e">
        <f t="shared" si="7"/>
        <v>#REF!</v>
      </c>
    </row>
    <row r="20" spans="1:14" x14ac:dyDescent="0.2">
      <c r="A20" s="42"/>
      <c r="B20" s="68"/>
      <c r="C20" s="23"/>
      <c r="D20" s="23"/>
      <c r="E20" s="23"/>
      <c r="F20" s="61"/>
      <c r="G20" s="61"/>
      <c r="H20" s="16"/>
      <c r="I20" s="16"/>
      <c r="J20" s="16"/>
      <c r="K20" s="16"/>
      <c r="L20" s="16"/>
      <c r="M20" s="16"/>
      <c r="N20" s="34"/>
    </row>
    <row r="21" spans="1:14" x14ac:dyDescent="0.2">
      <c r="A21" s="42"/>
      <c r="B21" s="62"/>
      <c r="C21" s="63"/>
      <c r="D21" s="63"/>
      <c r="E21" s="63"/>
      <c r="F21" s="64"/>
      <c r="G21" s="64"/>
      <c r="H21" s="65"/>
      <c r="I21" s="65"/>
      <c r="J21" s="65"/>
      <c r="K21" s="65"/>
      <c r="L21" s="65"/>
      <c r="M21" s="65"/>
      <c r="N21" s="66"/>
    </row>
    <row r="22" spans="1:14" x14ac:dyDescent="0.2">
      <c r="A22" s="42"/>
      <c r="B22" s="108" t="s">
        <v>38</v>
      </c>
      <c r="C22" s="109"/>
      <c r="D22" s="109"/>
      <c r="E22" s="109"/>
      <c r="F22" s="109"/>
      <c r="G22" s="109"/>
      <c r="H22" s="59"/>
      <c r="I22" s="59"/>
      <c r="J22" s="59"/>
      <c r="K22" s="59"/>
      <c r="L22" s="59"/>
      <c r="M22" s="59"/>
      <c r="N22" s="70" t="e">
        <f>SUM(N8:N21)</f>
        <v>#REF!</v>
      </c>
    </row>
    <row r="23" spans="1:14" x14ac:dyDescent="0.2">
      <c r="C23">
        <v>1</v>
      </c>
      <c r="D23">
        <v>2</v>
      </c>
      <c r="E23">
        <v>3</v>
      </c>
      <c r="F23">
        <v>4</v>
      </c>
      <c r="G23">
        <v>5</v>
      </c>
      <c r="H23">
        <v>6</v>
      </c>
      <c r="I23">
        <v>7</v>
      </c>
      <c r="J23">
        <v>8</v>
      </c>
      <c r="K23">
        <v>9</v>
      </c>
      <c r="L23">
        <v>10</v>
      </c>
      <c r="M23">
        <v>11</v>
      </c>
      <c r="N23">
        <v>12</v>
      </c>
    </row>
  </sheetData>
  <mergeCells count="3">
    <mergeCell ref="B4:N4"/>
    <mergeCell ref="B5:N5"/>
    <mergeCell ref="B22:G2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Q22"/>
  <sheetViews>
    <sheetView workbookViewId="0">
      <selection activeCell="F1" sqref="F1:F2"/>
    </sheetView>
  </sheetViews>
  <sheetFormatPr baseColWidth="10" defaultRowHeight="12.75" x14ac:dyDescent="0.2"/>
  <cols>
    <col min="1" max="1" width="2.7109375" customWidth="1"/>
    <col min="2" max="2" width="3.28515625" bestFit="1" customWidth="1"/>
    <col min="3" max="3" width="4.85546875" bestFit="1" customWidth="1"/>
    <col min="4" max="4" width="8.140625" bestFit="1" customWidth="1"/>
    <col min="5" max="5" width="10.5703125" customWidth="1"/>
    <col min="6" max="7" width="19.5703125" customWidth="1"/>
    <col min="8" max="12" width="12.28515625" customWidth="1"/>
    <col min="13" max="13" width="12.28515625" style="17" customWidth="1"/>
    <col min="14" max="14" width="12.42578125" style="17" customWidth="1"/>
    <col min="15" max="16" width="12.28515625" style="17" customWidth="1"/>
    <col min="17" max="17" width="12.28515625" customWidth="1"/>
  </cols>
  <sheetData>
    <row r="1" spans="1:17" x14ac:dyDescent="0.2">
      <c r="A1" s="42"/>
      <c r="B1" s="42"/>
      <c r="C1" s="42"/>
      <c r="D1" s="42"/>
      <c r="E1" s="42"/>
      <c r="F1" s="43" t="s">
        <v>95</v>
      </c>
      <c r="G1" s="42"/>
      <c r="H1" s="42"/>
      <c r="I1" s="42"/>
      <c r="J1" s="42"/>
      <c r="K1" s="42"/>
      <c r="L1" s="42"/>
      <c r="M1" s="55"/>
      <c r="N1" s="55"/>
      <c r="O1" s="55"/>
      <c r="P1" s="55"/>
      <c r="Q1" s="42"/>
    </row>
    <row r="2" spans="1:17" x14ac:dyDescent="0.2">
      <c r="A2" s="42"/>
      <c r="B2" s="42"/>
      <c r="C2" s="42"/>
      <c r="D2" s="42"/>
      <c r="E2" s="42"/>
      <c r="F2" s="43" t="s">
        <v>94</v>
      </c>
      <c r="G2" s="42"/>
      <c r="H2" s="42"/>
      <c r="I2" s="42"/>
      <c r="J2" s="42"/>
      <c r="K2" s="42"/>
      <c r="L2" s="42"/>
      <c r="M2" s="55"/>
      <c r="N2" s="55"/>
      <c r="O2" s="55"/>
      <c r="P2" s="55"/>
      <c r="Q2" s="42"/>
    </row>
    <row r="3" spans="1:17" x14ac:dyDescent="0.2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55"/>
      <c r="N3" s="55"/>
      <c r="O3" s="55"/>
      <c r="P3" s="55"/>
      <c r="Q3" s="42"/>
    </row>
    <row r="4" spans="1:17" x14ac:dyDescent="0.2">
      <c r="A4" s="42"/>
      <c r="B4" s="106" t="s">
        <v>58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</row>
    <row r="5" spans="1:17" x14ac:dyDescent="0.2">
      <c r="A5" s="42"/>
      <c r="B5" s="107" t="s">
        <v>86</v>
      </c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</row>
    <row r="6" spans="1:17" x14ac:dyDescent="0.2">
      <c r="A6" s="42"/>
      <c r="B6" s="43"/>
      <c r="C6" s="43"/>
      <c r="D6" s="42"/>
      <c r="E6" s="43"/>
      <c r="F6" s="43"/>
      <c r="G6" s="43"/>
      <c r="H6" s="43"/>
      <c r="I6" s="43"/>
      <c r="J6" s="43"/>
      <c r="K6" s="43"/>
      <c r="L6" s="43"/>
      <c r="M6" s="56"/>
      <c r="N6" s="82" t="s">
        <v>66</v>
      </c>
      <c r="O6" s="83">
        <v>30</v>
      </c>
      <c r="P6" s="56"/>
      <c r="Q6" s="43"/>
    </row>
    <row r="7" spans="1:17" ht="38.25" x14ac:dyDescent="0.2">
      <c r="A7" s="42"/>
      <c r="B7" s="57" t="s">
        <v>36</v>
      </c>
      <c r="C7" s="67" t="s">
        <v>6</v>
      </c>
      <c r="D7" s="57" t="s">
        <v>49</v>
      </c>
      <c r="E7" s="57" t="s">
        <v>50</v>
      </c>
      <c r="F7" s="67" t="s">
        <v>7</v>
      </c>
      <c r="G7" s="58" t="s">
        <v>51</v>
      </c>
      <c r="H7" s="69" t="s">
        <v>4</v>
      </c>
      <c r="I7" s="60" t="s">
        <v>82</v>
      </c>
      <c r="J7" s="60" t="s">
        <v>56</v>
      </c>
      <c r="K7" s="60" t="s">
        <v>57</v>
      </c>
      <c r="L7" s="60" t="s">
        <v>19</v>
      </c>
      <c r="M7" s="71" t="s">
        <v>5</v>
      </c>
      <c r="N7" s="71" t="s">
        <v>65</v>
      </c>
      <c r="O7" s="71" t="s">
        <v>63</v>
      </c>
      <c r="P7" s="71" t="s">
        <v>64</v>
      </c>
      <c r="Q7" s="60" t="s">
        <v>40</v>
      </c>
    </row>
    <row r="8" spans="1:17" x14ac:dyDescent="0.2">
      <c r="A8" s="42"/>
      <c r="B8" s="68">
        <v>1</v>
      </c>
      <c r="C8" s="76" t="s">
        <v>21</v>
      </c>
      <c r="D8" s="23" t="s">
        <v>37</v>
      </c>
      <c r="E8" s="61" t="e">
        <f t="shared" ref="E8:E19" si="0">IF(C8&lt;&gt;"",VLOOKUP(C8,DATAG,4,0),"")</f>
        <v>#REF!</v>
      </c>
      <c r="F8" s="61" t="e">
        <f t="shared" ref="F8:F19" si="1">IF(C8&lt;&gt;"",VLOOKUP(C8,DATAG,2,0),"")</f>
        <v>#REF!</v>
      </c>
      <c r="G8" s="61" t="e">
        <f t="shared" ref="G8:G19" si="2">IF(C8&lt;&gt;"",VLOOKUP(C8,DATAG,3,0),"")</f>
        <v>#REF!</v>
      </c>
      <c r="H8" s="16" t="e">
        <f t="shared" ref="H8:H19" si="3">IF(C8&lt;&gt;"",VLOOKUP(C8,DATAG,23,0),"")</f>
        <v>#REF!</v>
      </c>
      <c r="I8" s="16" t="e">
        <f t="shared" ref="I8:I19" si="4">IF(C8&lt;&gt;"",VLOOKUP(C8,DATAG,8,0),"")</f>
        <v>#REF!</v>
      </c>
      <c r="J8" s="16"/>
      <c r="K8" s="16"/>
      <c r="L8" s="31">
        <f>+K8-J8</f>
        <v>0</v>
      </c>
      <c r="M8" s="31" t="e">
        <f t="shared" ref="M8:M19" si="5">IF(C8&lt;&gt;"",VLOOKUP(C8,REMUNERACIONES,7,0),"")</f>
        <v>#REF!</v>
      </c>
      <c r="N8" s="74" t="e">
        <f>+M8/$O$6*L8</f>
        <v>#REF!</v>
      </c>
      <c r="O8" s="74" t="e">
        <f>+N8*10%</f>
        <v>#REF!</v>
      </c>
      <c r="P8" s="74" t="e">
        <f>+N8*1.37%</f>
        <v>#REF!</v>
      </c>
      <c r="Q8" s="34" t="e">
        <f>+N8-O8-P8</f>
        <v>#REF!</v>
      </c>
    </row>
    <row r="9" spans="1:17" x14ac:dyDescent="0.2">
      <c r="A9" s="42"/>
      <c r="B9" s="68">
        <v>2</v>
      </c>
      <c r="C9" s="76" t="s">
        <v>22</v>
      </c>
      <c r="D9" s="23" t="s">
        <v>37</v>
      </c>
      <c r="E9" s="61" t="e">
        <f t="shared" si="0"/>
        <v>#REF!</v>
      </c>
      <c r="F9" s="61" t="e">
        <f t="shared" si="1"/>
        <v>#REF!</v>
      </c>
      <c r="G9" s="61" t="e">
        <f t="shared" si="2"/>
        <v>#REF!</v>
      </c>
      <c r="H9" s="16" t="e">
        <f t="shared" si="3"/>
        <v>#REF!</v>
      </c>
      <c r="I9" s="16" t="e">
        <f t="shared" si="4"/>
        <v>#REF!</v>
      </c>
      <c r="J9" s="16"/>
      <c r="K9" s="16"/>
      <c r="L9" s="31">
        <f t="shared" ref="L9:L19" si="6">+K9-J9</f>
        <v>0</v>
      </c>
      <c r="M9" s="31" t="e">
        <f t="shared" si="5"/>
        <v>#REF!</v>
      </c>
      <c r="N9" s="74" t="e">
        <f t="shared" ref="N9:N19" si="7">+M9/$O$6*L9</f>
        <v>#REF!</v>
      </c>
      <c r="O9" s="74" t="e">
        <f t="shared" ref="O9:O19" si="8">+N9*10%</f>
        <v>#REF!</v>
      </c>
      <c r="P9" s="74" t="e">
        <f t="shared" ref="P9:P19" si="9">+N9*1.37%</f>
        <v>#REF!</v>
      </c>
      <c r="Q9" s="34" t="e">
        <f t="shared" ref="Q9:Q19" si="10">+N9-O9-P9</f>
        <v>#REF!</v>
      </c>
    </row>
    <row r="10" spans="1:17" x14ac:dyDescent="0.2">
      <c r="A10" s="42"/>
      <c r="B10" s="68">
        <v>3</v>
      </c>
      <c r="C10" s="76" t="s">
        <v>67</v>
      </c>
      <c r="D10" s="23" t="s">
        <v>37</v>
      </c>
      <c r="E10" s="61" t="e">
        <f t="shared" si="0"/>
        <v>#REF!</v>
      </c>
      <c r="F10" s="61" t="e">
        <f t="shared" si="1"/>
        <v>#REF!</v>
      </c>
      <c r="G10" s="61" t="e">
        <f t="shared" si="2"/>
        <v>#REF!</v>
      </c>
      <c r="H10" s="16" t="e">
        <f t="shared" si="3"/>
        <v>#REF!</v>
      </c>
      <c r="I10" s="16" t="e">
        <f t="shared" si="4"/>
        <v>#REF!</v>
      </c>
      <c r="J10" s="16"/>
      <c r="K10" s="16"/>
      <c r="L10" s="31">
        <f t="shared" si="6"/>
        <v>0</v>
      </c>
      <c r="M10" s="31" t="e">
        <f t="shared" si="5"/>
        <v>#REF!</v>
      </c>
      <c r="N10" s="74" t="e">
        <f t="shared" si="7"/>
        <v>#REF!</v>
      </c>
      <c r="O10" s="74" t="e">
        <f t="shared" si="8"/>
        <v>#REF!</v>
      </c>
      <c r="P10" s="74" t="e">
        <f t="shared" si="9"/>
        <v>#REF!</v>
      </c>
      <c r="Q10" s="34" t="e">
        <f t="shared" si="10"/>
        <v>#REF!</v>
      </c>
    </row>
    <row r="11" spans="1:17" x14ac:dyDescent="0.2">
      <c r="A11" s="42"/>
      <c r="B11" s="68">
        <v>4</v>
      </c>
      <c r="C11" s="76" t="s">
        <v>68</v>
      </c>
      <c r="D11" s="23" t="s">
        <v>37</v>
      </c>
      <c r="E11" s="61" t="e">
        <f t="shared" si="0"/>
        <v>#REF!</v>
      </c>
      <c r="F11" s="61" t="e">
        <f t="shared" si="1"/>
        <v>#REF!</v>
      </c>
      <c r="G11" s="61" t="e">
        <f t="shared" si="2"/>
        <v>#REF!</v>
      </c>
      <c r="H11" s="16" t="e">
        <f t="shared" si="3"/>
        <v>#REF!</v>
      </c>
      <c r="I11" s="16" t="e">
        <f t="shared" si="4"/>
        <v>#REF!</v>
      </c>
      <c r="J11" s="16"/>
      <c r="K11" s="16"/>
      <c r="L11" s="31">
        <f t="shared" si="6"/>
        <v>0</v>
      </c>
      <c r="M11" s="31" t="e">
        <f t="shared" si="5"/>
        <v>#REF!</v>
      </c>
      <c r="N11" s="74" t="e">
        <f t="shared" si="7"/>
        <v>#REF!</v>
      </c>
      <c r="O11" s="74" t="e">
        <f t="shared" si="8"/>
        <v>#REF!</v>
      </c>
      <c r="P11" s="74" t="e">
        <f t="shared" si="9"/>
        <v>#REF!</v>
      </c>
      <c r="Q11" s="34" t="e">
        <f t="shared" si="10"/>
        <v>#REF!</v>
      </c>
    </row>
    <row r="12" spans="1:17" x14ac:dyDescent="0.2">
      <c r="A12" s="42"/>
      <c r="B12" s="68">
        <v>5</v>
      </c>
      <c r="C12" s="76" t="s">
        <v>23</v>
      </c>
      <c r="D12" s="23" t="s">
        <v>37</v>
      </c>
      <c r="E12" s="61" t="e">
        <f t="shared" si="0"/>
        <v>#REF!</v>
      </c>
      <c r="F12" s="61" t="e">
        <f t="shared" si="1"/>
        <v>#REF!</v>
      </c>
      <c r="G12" s="61" t="e">
        <f t="shared" si="2"/>
        <v>#REF!</v>
      </c>
      <c r="H12" s="16" t="e">
        <f t="shared" si="3"/>
        <v>#REF!</v>
      </c>
      <c r="I12" s="16" t="e">
        <f t="shared" si="4"/>
        <v>#REF!</v>
      </c>
      <c r="J12" s="16"/>
      <c r="K12" s="16"/>
      <c r="L12" s="31">
        <f t="shared" si="6"/>
        <v>0</v>
      </c>
      <c r="M12" s="31" t="e">
        <f t="shared" si="5"/>
        <v>#REF!</v>
      </c>
      <c r="N12" s="74" t="e">
        <f t="shared" si="7"/>
        <v>#REF!</v>
      </c>
      <c r="O12" s="74" t="e">
        <f t="shared" si="8"/>
        <v>#REF!</v>
      </c>
      <c r="P12" s="74" t="e">
        <f t="shared" si="9"/>
        <v>#REF!</v>
      </c>
      <c r="Q12" s="34" t="e">
        <f t="shared" si="10"/>
        <v>#REF!</v>
      </c>
    </row>
    <row r="13" spans="1:17" x14ac:dyDescent="0.2">
      <c r="A13" s="42"/>
      <c r="B13" s="68">
        <v>6</v>
      </c>
      <c r="C13" s="76" t="s">
        <v>69</v>
      </c>
      <c r="D13" s="23" t="s">
        <v>37</v>
      </c>
      <c r="E13" s="61" t="e">
        <f t="shared" si="0"/>
        <v>#REF!</v>
      </c>
      <c r="F13" s="61" t="e">
        <f t="shared" si="1"/>
        <v>#REF!</v>
      </c>
      <c r="G13" s="61" t="e">
        <f t="shared" si="2"/>
        <v>#REF!</v>
      </c>
      <c r="H13" s="16" t="e">
        <f t="shared" si="3"/>
        <v>#REF!</v>
      </c>
      <c r="I13" s="16" t="e">
        <f t="shared" si="4"/>
        <v>#REF!</v>
      </c>
      <c r="J13" s="16"/>
      <c r="K13" s="16"/>
      <c r="L13" s="31">
        <f t="shared" si="6"/>
        <v>0</v>
      </c>
      <c r="M13" s="31" t="e">
        <f t="shared" si="5"/>
        <v>#REF!</v>
      </c>
      <c r="N13" s="74" t="e">
        <f t="shared" si="7"/>
        <v>#REF!</v>
      </c>
      <c r="O13" s="74" t="e">
        <f t="shared" si="8"/>
        <v>#REF!</v>
      </c>
      <c r="P13" s="74" t="e">
        <f t="shared" si="9"/>
        <v>#REF!</v>
      </c>
      <c r="Q13" s="34" t="e">
        <f t="shared" si="10"/>
        <v>#REF!</v>
      </c>
    </row>
    <row r="14" spans="1:17" x14ac:dyDescent="0.2">
      <c r="A14" s="42"/>
      <c r="B14" s="68">
        <v>7</v>
      </c>
      <c r="C14" s="76" t="s">
        <v>70</v>
      </c>
      <c r="D14" s="23" t="s">
        <v>37</v>
      </c>
      <c r="E14" s="61" t="e">
        <f t="shared" si="0"/>
        <v>#REF!</v>
      </c>
      <c r="F14" s="61" t="e">
        <f t="shared" si="1"/>
        <v>#REF!</v>
      </c>
      <c r="G14" s="61" t="e">
        <f t="shared" si="2"/>
        <v>#REF!</v>
      </c>
      <c r="H14" s="16" t="e">
        <f t="shared" si="3"/>
        <v>#REF!</v>
      </c>
      <c r="I14" s="16" t="e">
        <f t="shared" si="4"/>
        <v>#REF!</v>
      </c>
      <c r="J14" s="16"/>
      <c r="K14" s="16"/>
      <c r="L14" s="31">
        <f t="shared" si="6"/>
        <v>0</v>
      </c>
      <c r="M14" s="31" t="e">
        <f t="shared" si="5"/>
        <v>#REF!</v>
      </c>
      <c r="N14" s="74" t="e">
        <f t="shared" si="7"/>
        <v>#REF!</v>
      </c>
      <c r="O14" s="74" t="e">
        <f t="shared" si="8"/>
        <v>#REF!</v>
      </c>
      <c r="P14" s="74" t="e">
        <f t="shared" si="9"/>
        <v>#REF!</v>
      </c>
      <c r="Q14" s="34" t="e">
        <f t="shared" si="10"/>
        <v>#REF!</v>
      </c>
    </row>
    <row r="15" spans="1:17" x14ac:dyDescent="0.2">
      <c r="A15" s="42"/>
      <c r="B15" s="68">
        <v>8</v>
      </c>
      <c r="C15" s="76" t="s">
        <v>24</v>
      </c>
      <c r="D15" s="23" t="s">
        <v>37</v>
      </c>
      <c r="E15" s="61" t="e">
        <f t="shared" si="0"/>
        <v>#REF!</v>
      </c>
      <c r="F15" s="61" t="e">
        <f t="shared" si="1"/>
        <v>#REF!</v>
      </c>
      <c r="G15" s="61" t="e">
        <f t="shared" si="2"/>
        <v>#REF!</v>
      </c>
      <c r="H15" s="16" t="e">
        <f t="shared" si="3"/>
        <v>#REF!</v>
      </c>
      <c r="I15" s="16" t="e">
        <f t="shared" si="4"/>
        <v>#REF!</v>
      </c>
      <c r="J15" s="16"/>
      <c r="K15" s="16"/>
      <c r="L15" s="31">
        <f t="shared" si="6"/>
        <v>0</v>
      </c>
      <c r="M15" s="31" t="e">
        <f t="shared" si="5"/>
        <v>#REF!</v>
      </c>
      <c r="N15" s="74" t="e">
        <f t="shared" si="7"/>
        <v>#REF!</v>
      </c>
      <c r="O15" s="74" t="e">
        <f t="shared" si="8"/>
        <v>#REF!</v>
      </c>
      <c r="P15" s="74" t="e">
        <f t="shared" si="9"/>
        <v>#REF!</v>
      </c>
      <c r="Q15" s="34" t="e">
        <f t="shared" si="10"/>
        <v>#REF!</v>
      </c>
    </row>
    <row r="16" spans="1:17" x14ac:dyDescent="0.2">
      <c r="A16" s="42"/>
      <c r="B16" s="68">
        <v>9</v>
      </c>
      <c r="C16" s="76" t="s">
        <v>71</v>
      </c>
      <c r="D16" s="23" t="s">
        <v>37</v>
      </c>
      <c r="E16" s="61" t="e">
        <f t="shared" si="0"/>
        <v>#REF!</v>
      </c>
      <c r="F16" s="61" t="e">
        <f t="shared" si="1"/>
        <v>#REF!</v>
      </c>
      <c r="G16" s="61" t="e">
        <f t="shared" si="2"/>
        <v>#REF!</v>
      </c>
      <c r="H16" s="16" t="e">
        <f t="shared" si="3"/>
        <v>#REF!</v>
      </c>
      <c r="I16" s="16" t="e">
        <f t="shared" si="4"/>
        <v>#REF!</v>
      </c>
      <c r="J16" s="16"/>
      <c r="K16" s="16"/>
      <c r="L16" s="31">
        <f t="shared" si="6"/>
        <v>0</v>
      </c>
      <c r="M16" s="31" t="e">
        <f t="shared" si="5"/>
        <v>#REF!</v>
      </c>
      <c r="N16" s="74" t="e">
        <f t="shared" si="7"/>
        <v>#REF!</v>
      </c>
      <c r="O16" s="74" t="e">
        <f t="shared" si="8"/>
        <v>#REF!</v>
      </c>
      <c r="P16" s="74" t="e">
        <f t="shared" si="9"/>
        <v>#REF!</v>
      </c>
      <c r="Q16" s="34" t="e">
        <f t="shared" si="10"/>
        <v>#REF!</v>
      </c>
    </row>
    <row r="17" spans="1:17" x14ac:dyDescent="0.2">
      <c r="A17" s="42"/>
      <c r="B17" s="68">
        <v>10</v>
      </c>
      <c r="C17" s="76" t="s">
        <v>72</v>
      </c>
      <c r="D17" s="23" t="s">
        <v>37</v>
      </c>
      <c r="E17" s="61" t="e">
        <f t="shared" si="0"/>
        <v>#REF!</v>
      </c>
      <c r="F17" s="61" t="e">
        <f t="shared" si="1"/>
        <v>#REF!</v>
      </c>
      <c r="G17" s="61" t="e">
        <f t="shared" si="2"/>
        <v>#REF!</v>
      </c>
      <c r="H17" s="16" t="e">
        <f t="shared" si="3"/>
        <v>#REF!</v>
      </c>
      <c r="I17" s="16" t="e">
        <f t="shared" si="4"/>
        <v>#REF!</v>
      </c>
      <c r="J17" s="16"/>
      <c r="K17" s="16"/>
      <c r="L17" s="31">
        <f t="shared" si="6"/>
        <v>0</v>
      </c>
      <c r="M17" s="31" t="e">
        <f t="shared" si="5"/>
        <v>#REF!</v>
      </c>
      <c r="N17" s="74" t="e">
        <f t="shared" si="7"/>
        <v>#REF!</v>
      </c>
      <c r="O17" s="74" t="e">
        <f t="shared" si="8"/>
        <v>#REF!</v>
      </c>
      <c r="P17" s="74" t="e">
        <f t="shared" si="9"/>
        <v>#REF!</v>
      </c>
      <c r="Q17" s="34" t="e">
        <f t="shared" si="10"/>
        <v>#REF!</v>
      </c>
    </row>
    <row r="18" spans="1:17" x14ac:dyDescent="0.2">
      <c r="A18" s="42"/>
      <c r="B18" s="68">
        <v>11</v>
      </c>
      <c r="C18" s="76" t="s">
        <v>73</v>
      </c>
      <c r="D18" s="23" t="s">
        <v>37</v>
      </c>
      <c r="E18" s="61" t="e">
        <f t="shared" si="0"/>
        <v>#REF!</v>
      </c>
      <c r="F18" s="61" t="e">
        <f t="shared" si="1"/>
        <v>#REF!</v>
      </c>
      <c r="G18" s="61" t="e">
        <f t="shared" si="2"/>
        <v>#REF!</v>
      </c>
      <c r="H18" s="16" t="e">
        <f t="shared" si="3"/>
        <v>#REF!</v>
      </c>
      <c r="I18" s="16" t="e">
        <f t="shared" si="4"/>
        <v>#REF!</v>
      </c>
      <c r="J18" s="16"/>
      <c r="K18" s="16"/>
      <c r="L18" s="31">
        <f t="shared" si="6"/>
        <v>0</v>
      </c>
      <c r="M18" s="31" t="e">
        <f t="shared" si="5"/>
        <v>#REF!</v>
      </c>
      <c r="N18" s="74" t="e">
        <f t="shared" si="7"/>
        <v>#REF!</v>
      </c>
      <c r="O18" s="74" t="e">
        <f t="shared" si="8"/>
        <v>#REF!</v>
      </c>
      <c r="P18" s="74" t="e">
        <f t="shared" si="9"/>
        <v>#REF!</v>
      </c>
      <c r="Q18" s="34" t="e">
        <f t="shared" si="10"/>
        <v>#REF!</v>
      </c>
    </row>
    <row r="19" spans="1:17" x14ac:dyDescent="0.2">
      <c r="A19" s="42"/>
      <c r="B19" s="68">
        <v>12</v>
      </c>
      <c r="C19" s="76" t="s">
        <v>74</v>
      </c>
      <c r="D19" s="23" t="s">
        <v>37</v>
      </c>
      <c r="E19" s="61" t="e">
        <f t="shared" si="0"/>
        <v>#REF!</v>
      </c>
      <c r="F19" s="61" t="e">
        <f t="shared" si="1"/>
        <v>#REF!</v>
      </c>
      <c r="G19" s="61" t="e">
        <f t="shared" si="2"/>
        <v>#REF!</v>
      </c>
      <c r="H19" s="16" t="e">
        <f t="shared" si="3"/>
        <v>#REF!</v>
      </c>
      <c r="I19" s="16" t="e">
        <f t="shared" si="4"/>
        <v>#REF!</v>
      </c>
      <c r="J19" s="16"/>
      <c r="K19" s="16"/>
      <c r="L19" s="31">
        <f t="shared" si="6"/>
        <v>0</v>
      </c>
      <c r="M19" s="31" t="e">
        <f t="shared" si="5"/>
        <v>#REF!</v>
      </c>
      <c r="N19" s="74" t="e">
        <f t="shared" si="7"/>
        <v>#REF!</v>
      </c>
      <c r="O19" s="74" t="e">
        <f t="shared" si="8"/>
        <v>#REF!</v>
      </c>
      <c r="P19" s="74" t="e">
        <f t="shared" si="9"/>
        <v>#REF!</v>
      </c>
      <c r="Q19" s="34" t="e">
        <f t="shared" si="10"/>
        <v>#REF!</v>
      </c>
    </row>
    <row r="20" spans="1:17" x14ac:dyDescent="0.2">
      <c r="A20" s="42"/>
      <c r="B20" s="68"/>
      <c r="C20" s="23"/>
      <c r="D20" s="23"/>
      <c r="E20" s="23"/>
      <c r="F20" s="61"/>
      <c r="G20" s="61"/>
      <c r="H20" s="16"/>
      <c r="I20" s="16"/>
      <c r="J20" s="16"/>
      <c r="K20" s="16"/>
      <c r="L20" s="31"/>
      <c r="M20" s="74"/>
      <c r="N20" s="74"/>
      <c r="O20" s="74"/>
      <c r="P20" s="74"/>
      <c r="Q20" s="34"/>
    </row>
    <row r="21" spans="1:17" x14ac:dyDescent="0.2">
      <c r="A21" s="42"/>
      <c r="B21" s="108" t="s">
        <v>38</v>
      </c>
      <c r="C21" s="109"/>
      <c r="D21" s="109"/>
      <c r="E21" s="109"/>
      <c r="F21" s="109"/>
      <c r="G21" s="109"/>
      <c r="H21" s="59"/>
      <c r="I21" s="59"/>
      <c r="J21" s="59"/>
      <c r="K21" s="59"/>
      <c r="L21" s="59"/>
      <c r="M21" s="72" t="e">
        <f>SUM(M8:M20)</f>
        <v>#REF!</v>
      </c>
      <c r="N21" s="72" t="e">
        <f>SUM(N8:N20)</f>
        <v>#REF!</v>
      </c>
      <c r="O21" s="72" t="e">
        <f>SUM(O8:O20)</f>
        <v>#REF!</v>
      </c>
      <c r="P21" s="72" t="e">
        <f>SUM(P8:P20)</f>
        <v>#REF!</v>
      </c>
      <c r="Q21" s="72" t="e">
        <f>SUM(Q8:Q20)</f>
        <v>#REF!</v>
      </c>
    </row>
    <row r="22" spans="1:17" x14ac:dyDescent="0.2">
      <c r="C22">
        <v>1</v>
      </c>
      <c r="D22">
        <v>2</v>
      </c>
      <c r="E22">
        <v>3</v>
      </c>
      <c r="F22">
        <v>4</v>
      </c>
      <c r="G22">
        <v>5</v>
      </c>
      <c r="H22">
        <v>6</v>
      </c>
      <c r="I22">
        <v>7</v>
      </c>
      <c r="J22">
        <v>8</v>
      </c>
      <c r="K22">
        <v>9</v>
      </c>
      <c r="L22">
        <v>10</v>
      </c>
      <c r="M22">
        <v>11</v>
      </c>
      <c r="N22">
        <v>12</v>
      </c>
    </row>
  </sheetData>
  <mergeCells count="3">
    <mergeCell ref="B4:Q4"/>
    <mergeCell ref="B5:Q5"/>
    <mergeCell ref="B21:G2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J22"/>
  <sheetViews>
    <sheetView workbookViewId="0">
      <selection activeCell="F1" sqref="F1:F2"/>
    </sheetView>
  </sheetViews>
  <sheetFormatPr baseColWidth="10" defaultRowHeight="12.75" x14ac:dyDescent="0.2"/>
  <cols>
    <col min="1" max="1" width="2.7109375" customWidth="1"/>
    <col min="2" max="2" width="3.28515625" bestFit="1" customWidth="1"/>
    <col min="3" max="3" width="4.85546875" bestFit="1" customWidth="1"/>
    <col min="4" max="4" width="8.140625" bestFit="1" customWidth="1"/>
    <col min="5" max="5" width="10.5703125" customWidth="1"/>
    <col min="6" max="7" width="19.5703125" customWidth="1"/>
    <col min="8" max="9" width="12.28515625" customWidth="1"/>
    <col min="10" max="10" width="12.28515625" style="17" customWidth="1"/>
  </cols>
  <sheetData>
    <row r="1" spans="1:10" x14ac:dyDescent="0.2">
      <c r="A1" s="42"/>
      <c r="B1" s="42"/>
      <c r="C1" s="42"/>
      <c r="D1" s="42"/>
      <c r="E1" s="42"/>
      <c r="F1" s="43" t="s">
        <v>95</v>
      </c>
      <c r="G1" s="42"/>
      <c r="H1" s="42"/>
      <c r="I1" s="42"/>
      <c r="J1" s="55"/>
    </row>
    <row r="2" spans="1:10" x14ac:dyDescent="0.2">
      <c r="A2" s="42"/>
      <c r="B2" s="42"/>
      <c r="C2" s="42"/>
      <c r="D2" s="42"/>
      <c r="E2" s="42"/>
      <c r="F2" s="43" t="s">
        <v>94</v>
      </c>
      <c r="G2" s="42"/>
      <c r="H2" s="42"/>
      <c r="I2" s="42"/>
      <c r="J2" s="55"/>
    </row>
    <row r="3" spans="1:10" x14ac:dyDescent="0.2">
      <c r="A3" s="42"/>
      <c r="B3" s="42"/>
      <c r="C3" s="42"/>
      <c r="D3" s="42"/>
      <c r="E3" s="42"/>
      <c r="F3" s="42"/>
      <c r="G3" s="42"/>
      <c r="H3" s="42"/>
      <c r="I3" s="42"/>
      <c r="J3" s="55"/>
    </row>
    <row r="4" spans="1:10" x14ac:dyDescent="0.2">
      <c r="A4" s="42"/>
      <c r="B4" s="106" t="s">
        <v>61</v>
      </c>
      <c r="C4" s="106"/>
      <c r="D4" s="106"/>
      <c r="E4" s="106"/>
      <c r="F4" s="106"/>
      <c r="G4" s="106"/>
      <c r="H4" s="106"/>
      <c r="I4" s="106"/>
      <c r="J4" s="106"/>
    </row>
    <row r="5" spans="1:10" x14ac:dyDescent="0.2">
      <c r="A5" s="42"/>
      <c r="B5" s="107" t="s">
        <v>86</v>
      </c>
      <c r="C5" s="107"/>
      <c r="D5" s="107"/>
      <c r="E5" s="107"/>
      <c r="F5" s="107"/>
      <c r="G5" s="107"/>
      <c r="H5" s="107"/>
      <c r="I5" s="107"/>
      <c r="J5" s="107"/>
    </row>
    <row r="6" spans="1:10" x14ac:dyDescent="0.2">
      <c r="A6" s="42"/>
      <c r="B6" s="43"/>
      <c r="C6" s="43"/>
      <c r="D6" s="42"/>
      <c r="E6" s="43"/>
      <c r="F6" s="43"/>
      <c r="G6" s="43"/>
      <c r="H6" s="43"/>
      <c r="I6" s="43"/>
      <c r="J6" s="56"/>
    </row>
    <row r="7" spans="1:10" ht="25.5" x14ac:dyDescent="0.2">
      <c r="A7" s="42"/>
      <c r="B7" s="57" t="s">
        <v>36</v>
      </c>
      <c r="C7" s="67" t="s">
        <v>6</v>
      </c>
      <c r="D7" s="57" t="s">
        <v>49</v>
      </c>
      <c r="E7" s="57" t="s">
        <v>50</v>
      </c>
      <c r="F7" s="67" t="s">
        <v>7</v>
      </c>
      <c r="G7" s="58" t="s">
        <v>51</v>
      </c>
      <c r="H7" s="69" t="s">
        <v>4</v>
      </c>
      <c r="I7" s="60" t="s">
        <v>55</v>
      </c>
      <c r="J7" s="71" t="s">
        <v>40</v>
      </c>
    </row>
    <row r="8" spans="1:10" x14ac:dyDescent="0.2">
      <c r="A8" s="42"/>
      <c r="B8" s="68">
        <v>1</v>
      </c>
      <c r="C8" s="76" t="s">
        <v>21</v>
      </c>
      <c r="D8" s="23" t="s">
        <v>37</v>
      </c>
      <c r="E8" s="61" t="e">
        <f t="shared" ref="E8:E19" si="0">IF(C8&lt;&gt;"",VLOOKUP(C8,DATAG,4,0),"")</f>
        <v>#REF!</v>
      </c>
      <c r="F8" s="61" t="e">
        <f t="shared" ref="F8:F19" si="1">IF(C8&lt;&gt;"",VLOOKUP(C8,DATAG,2,0),"")</f>
        <v>#REF!</v>
      </c>
      <c r="G8" s="61" t="e">
        <f t="shared" ref="G8:G19" si="2">IF(C8&lt;&gt;"",VLOOKUP(C8,DATAG,3,0),"")</f>
        <v>#REF!</v>
      </c>
      <c r="H8" s="16" t="e">
        <f t="shared" ref="H8:H19" si="3">IF(C8&lt;&gt;"",VLOOKUP(C8,DATAG,23,0),"")</f>
        <v>#REF!</v>
      </c>
      <c r="I8" s="16"/>
      <c r="J8" s="34"/>
    </row>
    <row r="9" spans="1:10" x14ac:dyDescent="0.2">
      <c r="A9" s="42"/>
      <c r="B9" s="68">
        <v>2</v>
      </c>
      <c r="C9" s="76" t="s">
        <v>22</v>
      </c>
      <c r="D9" s="23" t="s">
        <v>37</v>
      </c>
      <c r="E9" s="61" t="e">
        <f t="shared" si="0"/>
        <v>#REF!</v>
      </c>
      <c r="F9" s="61" t="e">
        <f t="shared" si="1"/>
        <v>#REF!</v>
      </c>
      <c r="G9" s="61" t="e">
        <f t="shared" si="2"/>
        <v>#REF!</v>
      </c>
      <c r="H9" s="16" t="e">
        <f t="shared" si="3"/>
        <v>#REF!</v>
      </c>
      <c r="I9" s="16"/>
      <c r="J9" s="34"/>
    </row>
    <row r="10" spans="1:10" x14ac:dyDescent="0.2">
      <c r="A10" s="42"/>
      <c r="B10" s="68">
        <v>3</v>
      </c>
      <c r="C10" s="76" t="s">
        <v>67</v>
      </c>
      <c r="D10" s="23" t="s">
        <v>37</v>
      </c>
      <c r="E10" s="61" t="e">
        <f t="shared" si="0"/>
        <v>#REF!</v>
      </c>
      <c r="F10" s="61" t="e">
        <f t="shared" si="1"/>
        <v>#REF!</v>
      </c>
      <c r="G10" s="61" t="e">
        <f t="shared" si="2"/>
        <v>#REF!</v>
      </c>
      <c r="H10" s="16" t="e">
        <f t="shared" si="3"/>
        <v>#REF!</v>
      </c>
      <c r="I10" s="16"/>
      <c r="J10" s="34"/>
    </row>
    <row r="11" spans="1:10" x14ac:dyDescent="0.2">
      <c r="A11" s="42"/>
      <c r="B11" s="68">
        <v>4</v>
      </c>
      <c r="C11" s="76" t="s">
        <v>68</v>
      </c>
      <c r="D11" s="23" t="s">
        <v>37</v>
      </c>
      <c r="E11" s="61" t="e">
        <f t="shared" si="0"/>
        <v>#REF!</v>
      </c>
      <c r="F11" s="61" t="e">
        <f t="shared" si="1"/>
        <v>#REF!</v>
      </c>
      <c r="G11" s="61" t="e">
        <f t="shared" si="2"/>
        <v>#REF!</v>
      </c>
      <c r="H11" s="16" t="e">
        <f t="shared" si="3"/>
        <v>#REF!</v>
      </c>
      <c r="I11" s="16"/>
      <c r="J11" s="34"/>
    </row>
    <row r="12" spans="1:10" x14ac:dyDescent="0.2">
      <c r="A12" s="42"/>
      <c r="B12" s="68">
        <v>5</v>
      </c>
      <c r="C12" s="76" t="s">
        <v>23</v>
      </c>
      <c r="D12" s="23" t="s">
        <v>37</v>
      </c>
      <c r="E12" s="61" t="e">
        <f t="shared" si="0"/>
        <v>#REF!</v>
      </c>
      <c r="F12" s="61" t="e">
        <f t="shared" si="1"/>
        <v>#REF!</v>
      </c>
      <c r="G12" s="61" t="e">
        <f t="shared" si="2"/>
        <v>#REF!</v>
      </c>
      <c r="H12" s="16" t="e">
        <f t="shared" si="3"/>
        <v>#REF!</v>
      </c>
      <c r="I12" s="85"/>
      <c r="J12" s="34"/>
    </row>
    <row r="13" spans="1:10" x14ac:dyDescent="0.2">
      <c r="A13" s="42"/>
      <c r="B13" s="68">
        <v>6</v>
      </c>
      <c r="C13" s="76" t="s">
        <v>69</v>
      </c>
      <c r="D13" s="23" t="s">
        <v>37</v>
      </c>
      <c r="E13" s="61" t="e">
        <f t="shared" si="0"/>
        <v>#REF!</v>
      </c>
      <c r="F13" s="61" t="e">
        <f t="shared" si="1"/>
        <v>#REF!</v>
      </c>
      <c r="G13" s="61" t="e">
        <f t="shared" si="2"/>
        <v>#REF!</v>
      </c>
      <c r="H13" s="16" t="e">
        <f t="shared" si="3"/>
        <v>#REF!</v>
      </c>
      <c r="I13" s="16"/>
      <c r="J13" s="34"/>
    </row>
    <row r="14" spans="1:10" x14ac:dyDescent="0.2">
      <c r="A14" s="42"/>
      <c r="B14" s="68">
        <v>7</v>
      </c>
      <c r="C14" s="76" t="s">
        <v>70</v>
      </c>
      <c r="D14" s="23" t="s">
        <v>37</v>
      </c>
      <c r="E14" s="61" t="e">
        <f t="shared" si="0"/>
        <v>#REF!</v>
      </c>
      <c r="F14" s="61" t="e">
        <f t="shared" si="1"/>
        <v>#REF!</v>
      </c>
      <c r="G14" s="61" t="e">
        <f t="shared" si="2"/>
        <v>#REF!</v>
      </c>
      <c r="H14" s="16" t="e">
        <f t="shared" si="3"/>
        <v>#REF!</v>
      </c>
      <c r="I14" s="16"/>
      <c r="J14" s="34"/>
    </row>
    <row r="15" spans="1:10" x14ac:dyDescent="0.2">
      <c r="A15" s="42"/>
      <c r="B15" s="68">
        <v>8</v>
      </c>
      <c r="C15" s="76" t="s">
        <v>24</v>
      </c>
      <c r="D15" s="23" t="s">
        <v>37</v>
      </c>
      <c r="E15" s="61" t="e">
        <f t="shared" si="0"/>
        <v>#REF!</v>
      </c>
      <c r="F15" s="61" t="e">
        <f t="shared" si="1"/>
        <v>#REF!</v>
      </c>
      <c r="G15" s="61" t="e">
        <f t="shared" si="2"/>
        <v>#REF!</v>
      </c>
      <c r="H15" s="16" t="e">
        <f t="shared" si="3"/>
        <v>#REF!</v>
      </c>
    </row>
    <row r="16" spans="1:10" x14ac:dyDescent="0.2">
      <c r="A16" s="42"/>
      <c r="B16" s="68">
        <v>9</v>
      </c>
      <c r="C16" s="76" t="s">
        <v>71</v>
      </c>
      <c r="D16" s="23" t="s">
        <v>37</v>
      </c>
      <c r="E16" s="61" t="e">
        <f t="shared" si="0"/>
        <v>#REF!</v>
      </c>
      <c r="F16" s="61" t="e">
        <f t="shared" si="1"/>
        <v>#REF!</v>
      </c>
      <c r="G16" s="61" t="e">
        <f t="shared" si="2"/>
        <v>#REF!</v>
      </c>
      <c r="H16" s="16" t="e">
        <f t="shared" si="3"/>
        <v>#REF!</v>
      </c>
      <c r="I16" s="85"/>
      <c r="J16" s="34"/>
    </row>
    <row r="17" spans="1:10" x14ac:dyDescent="0.2">
      <c r="A17" s="42"/>
      <c r="B17" s="68">
        <v>10</v>
      </c>
      <c r="C17" s="76" t="s">
        <v>72</v>
      </c>
      <c r="D17" s="23" t="s">
        <v>37</v>
      </c>
      <c r="E17" s="61" t="e">
        <f t="shared" si="0"/>
        <v>#REF!</v>
      </c>
      <c r="F17" s="61" t="e">
        <f t="shared" si="1"/>
        <v>#REF!</v>
      </c>
      <c r="G17" s="61" t="e">
        <f t="shared" si="2"/>
        <v>#REF!</v>
      </c>
      <c r="H17" s="16" t="e">
        <f t="shared" si="3"/>
        <v>#REF!</v>
      </c>
      <c r="I17" s="16"/>
      <c r="J17" s="34"/>
    </row>
    <row r="18" spans="1:10" x14ac:dyDescent="0.2">
      <c r="A18" s="42"/>
      <c r="B18" s="68">
        <v>11</v>
      </c>
      <c r="C18" s="76" t="s">
        <v>73</v>
      </c>
      <c r="D18" s="23" t="s">
        <v>37</v>
      </c>
      <c r="E18" s="61" t="e">
        <f t="shared" si="0"/>
        <v>#REF!</v>
      </c>
      <c r="F18" s="61" t="e">
        <f t="shared" si="1"/>
        <v>#REF!</v>
      </c>
      <c r="G18" s="61" t="e">
        <f t="shared" si="2"/>
        <v>#REF!</v>
      </c>
      <c r="H18" s="16" t="e">
        <f t="shared" si="3"/>
        <v>#REF!</v>
      </c>
      <c r="I18" s="16"/>
      <c r="J18" s="34"/>
    </row>
    <row r="19" spans="1:10" x14ac:dyDescent="0.2">
      <c r="A19" s="42"/>
      <c r="B19" s="68">
        <v>12</v>
      </c>
      <c r="C19" s="76" t="s">
        <v>74</v>
      </c>
      <c r="D19" s="23" t="s">
        <v>37</v>
      </c>
      <c r="E19" s="61" t="e">
        <f t="shared" si="0"/>
        <v>#REF!</v>
      </c>
      <c r="F19" s="61" t="e">
        <f t="shared" si="1"/>
        <v>#REF!</v>
      </c>
      <c r="G19" s="61" t="e">
        <f t="shared" si="2"/>
        <v>#REF!</v>
      </c>
      <c r="H19" s="16" t="e">
        <f t="shared" si="3"/>
        <v>#REF!</v>
      </c>
      <c r="I19" s="16"/>
      <c r="J19" s="34"/>
    </row>
    <row r="20" spans="1:10" x14ac:dyDescent="0.2">
      <c r="A20" s="42"/>
      <c r="B20" s="68"/>
      <c r="C20" s="23"/>
      <c r="D20" s="23"/>
      <c r="E20" s="23"/>
      <c r="F20" s="61"/>
      <c r="G20" s="61"/>
      <c r="H20" s="16"/>
      <c r="I20" s="16"/>
      <c r="J20" s="34"/>
    </row>
    <row r="21" spans="1:10" x14ac:dyDescent="0.2">
      <c r="A21" s="42"/>
      <c r="B21" s="62"/>
      <c r="C21" s="63"/>
      <c r="D21" s="63"/>
      <c r="E21" s="63"/>
      <c r="F21" s="64"/>
      <c r="G21" s="64"/>
      <c r="H21" s="65"/>
      <c r="I21" s="65"/>
      <c r="J21" s="66"/>
    </row>
    <row r="22" spans="1:10" x14ac:dyDescent="0.2">
      <c r="A22" s="42"/>
      <c r="B22" s="108" t="s">
        <v>38</v>
      </c>
      <c r="C22" s="109"/>
      <c r="D22" s="109"/>
      <c r="E22" s="109"/>
      <c r="F22" s="109"/>
      <c r="G22" s="109"/>
      <c r="H22" s="59"/>
      <c r="I22" s="59"/>
      <c r="J22" s="72">
        <f>SUM(J8:J19)</f>
        <v>0</v>
      </c>
    </row>
  </sheetData>
  <mergeCells count="3">
    <mergeCell ref="B4:J4"/>
    <mergeCell ref="B5:J5"/>
    <mergeCell ref="B22:G22"/>
  </mergeCells>
  <pageMargins left="0.7" right="0.7" top="0.75" bottom="0.75" header="0.3" footer="0.3"/>
  <pageSetup paperSize="9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L21"/>
  <sheetViews>
    <sheetView workbookViewId="0">
      <selection activeCell="F1" sqref="F1:F2"/>
    </sheetView>
  </sheetViews>
  <sheetFormatPr baseColWidth="10" defaultRowHeight="12.75" x14ac:dyDescent="0.2"/>
  <cols>
    <col min="1" max="1" width="2.7109375" customWidth="1"/>
    <col min="2" max="2" width="3.28515625" bestFit="1" customWidth="1"/>
    <col min="3" max="3" width="4.85546875" bestFit="1" customWidth="1"/>
    <col min="4" max="4" width="8.140625" bestFit="1" customWidth="1"/>
    <col min="5" max="5" width="10.5703125" customWidth="1"/>
    <col min="6" max="7" width="19.5703125" customWidth="1"/>
    <col min="8" max="11" width="12.28515625" customWidth="1"/>
    <col min="12" max="12" width="12.28515625" style="17" customWidth="1"/>
  </cols>
  <sheetData>
    <row r="1" spans="1:12" x14ac:dyDescent="0.2">
      <c r="A1" s="42"/>
      <c r="B1" s="42"/>
      <c r="C1" s="42"/>
      <c r="D1" s="42"/>
      <c r="E1" s="42"/>
      <c r="F1" s="43" t="s">
        <v>95</v>
      </c>
      <c r="G1" s="42"/>
      <c r="H1" s="42"/>
      <c r="I1" s="42"/>
      <c r="J1" s="42"/>
      <c r="K1" s="42"/>
      <c r="L1" s="55"/>
    </row>
    <row r="2" spans="1:12" x14ac:dyDescent="0.2">
      <c r="A2" s="42"/>
      <c r="B2" s="42"/>
      <c r="C2" s="42"/>
      <c r="D2" s="42"/>
      <c r="E2" s="42"/>
      <c r="F2" s="43" t="s">
        <v>94</v>
      </c>
      <c r="G2" s="42"/>
      <c r="H2" s="42"/>
      <c r="I2" s="42"/>
      <c r="J2" s="42"/>
      <c r="K2" s="42"/>
      <c r="L2" s="55"/>
    </row>
    <row r="3" spans="1:12" x14ac:dyDescent="0.2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55"/>
    </row>
    <row r="4" spans="1:12" x14ac:dyDescent="0.2">
      <c r="A4" s="42"/>
      <c r="B4" s="106" t="s">
        <v>61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</row>
    <row r="5" spans="1:12" x14ac:dyDescent="0.2">
      <c r="A5" s="42"/>
      <c r="B5" s="107" t="s">
        <v>52</v>
      </c>
      <c r="C5" s="107"/>
      <c r="D5" s="107"/>
      <c r="E5" s="107"/>
      <c r="F5" s="107"/>
      <c r="G5" s="107"/>
      <c r="H5" s="107"/>
      <c r="I5" s="107"/>
      <c r="J5" s="107"/>
      <c r="K5" s="107"/>
      <c r="L5" s="107"/>
    </row>
    <row r="6" spans="1:12" x14ac:dyDescent="0.2">
      <c r="A6" s="42"/>
      <c r="B6" s="43"/>
      <c r="C6" s="43"/>
      <c r="D6" s="42"/>
      <c r="E6" s="43"/>
      <c r="F6" s="43"/>
      <c r="G6" s="43"/>
      <c r="H6" s="43"/>
      <c r="I6" s="43"/>
      <c r="J6" s="43"/>
      <c r="K6" s="43"/>
      <c r="L6" s="56"/>
    </row>
    <row r="7" spans="1:12" ht="25.5" x14ac:dyDescent="0.2">
      <c r="A7" s="42"/>
      <c r="B7" s="57" t="s">
        <v>36</v>
      </c>
      <c r="C7" s="67" t="s">
        <v>6</v>
      </c>
      <c r="D7" s="57" t="s">
        <v>49</v>
      </c>
      <c r="E7" s="57" t="s">
        <v>50</v>
      </c>
      <c r="F7" s="67" t="s">
        <v>7</v>
      </c>
      <c r="G7" s="58" t="s">
        <v>51</v>
      </c>
      <c r="H7" s="69" t="s">
        <v>4</v>
      </c>
      <c r="I7" s="60" t="s">
        <v>84</v>
      </c>
      <c r="J7" s="60" t="s">
        <v>83</v>
      </c>
      <c r="K7" s="60" t="s">
        <v>55</v>
      </c>
      <c r="L7" s="71" t="s">
        <v>40</v>
      </c>
    </row>
    <row r="8" spans="1:12" x14ac:dyDescent="0.2">
      <c r="A8" s="42"/>
      <c r="B8" s="68">
        <v>1</v>
      </c>
      <c r="C8" s="76" t="s">
        <v>21</v>
      </c>
      <c r="D8" s="23" t="s">
        <v>37</v>
      </c>
      <c r="E8" s="61" t="e">
        <f t="shared" ref="E8:E19" si="0">IF(C8&lt;&gt;"",VLOOKUP(C8,DATAG,4,0),"")</f>
        <v>#REF!</v>
      </c>
      <c r="F8" s="61" t="e">
        <f t="shared" ref="F8:F19" si="1">IF(C8&lt;&gt;"",VLOOKUP(C8,DATAG,2,0),"")</f>
        <v>#REF!</v>
      </c>
      <c r="G8" s="61" t="e">
        <f t="shared" ref="G8:G19" si="2">IF(C8&lt;&gt;"",VLOOKUP(C8,DATAG,3,0),"")</f>
        <v>#REF!</v>
      </c>
      <c r="H8" s="16" t="e">
        <f t="shared" ref="H8:H19" si="3">IF(C8&lt;&gt;"",VLOOKUP(C8,DATAG,23,0),"")</f>
        <v>#REF!</v>
      </c>
      <c r="I8" s="16"/>
      <c r="J8" s="16"/>
      <c r="K8" s="16"/>
      <c r="L8" s="34"/>
    </row>
    <row r="9" spans="1:12" x14ac:dyDescent="0.2">
      <c r="A9" s="42"/>
      <c r="B9" s="68">
        <v>2</v>
      </c>
      <c r="C9" s="76" t="s">
        <v>22</v>
      </c>
      <c r="D9" s="23" t="s">
        <v>37</v>
      </c>
      <c r="E9" s="61" t="e">
        <f t="shared" si="0"/>
        <v>#REF!</v>
      </c>
      <c r="F9" s="61" t="e">
        <f t="shared" si="1"/>
        <v>#REF!</v>
      </c>
      <c r="G9" s="61" t="e">
        <f t="shared" si="2"/>
        <v>#REF!</v>
      </c>
      <c r="H9" s="16" t="e">
        <f t="shared" si="3"/>
        <v>#REF!</v>
      </c>
      <c r="I9" s="16"/>
      <c r="J9" s="16"/>
      <c r="K9" s="16"/>
      <c r="L9" s="34"/>
    </row>
    <row r="10" spans="1:12" x14ac:dyDescent="0.2">
      <c r="A10" s="42"/>
      <c r="B10" s="68">
        <v>3</v>
      </c>
      <c r="C10" s="76" t="s">
        <v>67</v>
      </c>
      <c r="D10" s="23" t="s">
        <v>37</v>
      </c>
      <c r="E10" s="61" t="e">
        <f t="shared" si="0"/>
        <v>#REF!</v>
      </c>
      <c r="F10" s="61" t="e">
        <f t="shared" si="1"/>
        <v>#REF!</v>
      </c>
      <c r="G10" s="61" t="e">
        <f t="shared" si="2"/>
        <v>#REF!</v>
      </c>
      <c r="H10" s="16" t="e">
        <f t="shared" si="3"/>
        <v>#REF!</v>
      </c>
      <c r="I10" s="16"/>
      <c r="J10" s="16"/>
      <c r="K10" s="16"/>
      <c r="L10" s="34"/>
    </row>
    <row r="11" spans="1:12" x14ac:dyDescent="0.2">
      <c r="A11" s="42"/>
      <c r="B11" s="68">
        <v>4</v>
      </c>
      <c r="C11" s="76" t="s">
        <v>68</v>
      </c>
      <c r="D11" s="23" t="s">
        <v>37</v>
      </c>
      <c r="E11" s="61" t="e">
        <f t="shared" si="0"/>
        <v>#REF!</v>
      </c>
      <c r="F11" s="61" t="e">
        <f t="shared" si="1"/>
        <v>#REF!</v>
      </c>
      <c r="G11" s="61" t="e">
        <f t="shared" si="2"/>
        <v>#REF!</v>
      </c>
      <c r="H11" s="16" t="e">
        <f t="shared" si="3"/>
        <v>#REF!</v>
      </c>
      <c r="I11" s="16"/>
      <c r="J11" s="16"/>
      <c r="K11" s="16"/>
      <c r="L11" s="34"/>
    </row>
    <row r="12" spans="1:12" x14ac:dyDescent="0.2">
      <c r="A12" s="42"/>
      <c r="B12" s="68">
        <v>5</v>
      </c>
      <c r="C12" s="76" t="s">
        <v>23</v>
      </c>
      <c r="D12" s="23" t="s">
        <v>37</v>
      </c>
      <c r="E12" s="61" t="e">
        <f t="shared" si="0"/>
        <v>#REF!</v>
      </c>
      <c r="F12" s="61" t="e">
        <f t="shared" si="1"/>
        <v>#REF!</v>
      </c>
      <c r="G12" s="61" t="e">
        <f t="shared" si="2"/>
        <v>#REF!</v>
      </c>
      <c r="H12" s="16" t="e">
        <f t="shared" si="3"/>
        <v>#REF!</v>
      </c>
      <c r="I12" s="16"/>
      <c r="J12" s="16"/>
      <c r="K12" s="16"/>
      <c r="L12" s="34"/>
    </row>
    <row r="13" spans="1:12" x14ac:dyDescent="0.2">
      <c r="A13" s="42"/>
      <c r="B13" s="68">
        <v>6</v>
      </c>
      <c r="C13" s="76" t="s">
        <v>69</v>
      </c>
      <c r="D13" s="23" t="s">
        <v>37</v>
      </c>
      <c r="E13" s="61" t="e">
        <f t="shared" si="0"/>
        <v>#REF!</v>
      </c>
      <c r="F13" s="61" t="e">
        <f t="shared" si="1"/>
        <v>#REF!</v>
      </c>
      <c r="G13" s="61" t="e">
        <f t="shared" si="2"/>
        <v>#REF!</v>
      </c>
      <c r="H13" s="16" t="e">
        <f t="shared" si="3"/>
        <v>#REF!</v>
      </c>
      <c r="I13" s="16"/>
      <c r="J13" s="16"/>
      <c r="K13" s="16"/>
      <c r="L13" s="34"/>
    </row>
    <row r="14" spans="1:12" x14ac:dyDescent="0.2">
      <c r="A14" s="42"/>
      <c r="B14" s="68">
        <v>7</v>
      </c>
      <c r="C14" s="76" t="s">
        <v>70</v>
      </c>
      <c r="D14" s="23" t="s">
        <v>37</v>
      </c>
      <c r="E14" s="61" t="e">
        <f t="shared" si="0"/>
        <v>#REF!</v>
      </c>
      <c r="F14" s="61" t="e">
        <f t="shared" si="1"/>
        <v>#REF!</v>
      </c>
      <c r="G14" s="61" t="e">
        <f t="shared" si="2"/>
        <v>#REF!</v>
      </c>
      <c r="H14" s="16" t="e">
        <f t="shared" si="3"/>
        <v>#REF!</v>
      </c>
      <c r="I14" s="16"/>
      <c r="J14" s="16"/>
      <c r="K14" s="16"/>
      <c r="L14" s="34"/>
    </row>
    <row r="15" spans="1:12" x14ac:dyDescent="0.2">
      <c r="A15" s="42"/>
      <c r="B15" s="68">
        <v>8</v>
      </c>
      <c r="C15" s="76" t="s">
        <v>24</v>
      </c>
      <c r="D15" s="23" t="s">
        <v>37</v>
      </c>
      <c r="E15" s="61" t="e">
        <f t="shared" si="0"/>
        <v>#REF!</v>
      </c>
      <c r="F15" s="61" t="e">
        <f t="shared" si="1"/>
        <v>#REF!</v>
      </c>
      <c r="G15" s="61" t="e">
        <f t="shared" si="2"/>
        <v>#REF!</v>
      </c>
      <c r="H15" s="16" t="e">
        <f t="shared" si="3"/>
        <v>#REF!</v>
      </c>
      <c r="I15" s="65"/>
      <c r="J15" s="65"/>
      <c r="L15" s="34"/>
    </row>
    <row r="16" spans="1:12" x14ac:dyDescent="0.2">
      <c r="A16" s="42"/>
      <c r="B16" s="68">
        <v>9</v>
      </c>
      <c r="C16" s="76" t="s">
        <v>71</v>
      </c>
      <c r="D16" s="23" t="s">
        <v>37</v>
      </c>
      <c r="E16" s="61" t="e">
        <f t="shared" si="0"/>
        <v>#REF!</v>
      </c>
      <c r="F16" s="61" t="e">
        <f t="shared" si="1"/>
        <v>#REF!</v>
      </c>
      <c r="G16" s="61" t="e">
        <f t="shared" si="2"/>
        <v>#REF!</v>
      </c>
      <c r="H16" s="16" t="e">
        <f t="shared" si="3"/>
        <v>#REF!</v>
      </c>
      <c r="I16" s="16"/>
      <c r="J16" s="16"/>
      <c r="K16" s="16"/>
      <c r="L16" s="34"/>
    </row>
    <row r="17" spans="1:12" x14ac:dyDescent="0.2">
      <c r="A17" s="42"/>
      <c r="B17" s="68">
        <v>10</v>
      </c>
      <c r="C17" s="76" t="s">
        <v>72</v>
      </c>
      <c r="D17" s="23" t="s">
        <v>37</v>
      </c>
      <c r="E17" s="61" t="e">
        <f t="shared" si="0"/>
        <v>#REF!</v>
      </c>
      <c r="F17" s="61" t="e">
        <f t="shared" si="1"/>
        <v>#REF!</v>
      </c>
      <c r="G17" s="61" t="e">
        <f t="shared" si="2"/>
        <v>#REF!</v>
      </c>
      <c r="H17" s="16" t="e">
        <f t="shared" si="3"/>
        <v>#REF!</v>
      </c>
      <c r="I17" s="16"/>
      <c r="J17" s="16"/>
      <c r="K17" s="16"/>
      <c r="L17" s="34"/>
    </row>
    <row r="18" spans="1:12" x14ac:dyDescent="0.2">
      <c r="A18" s="42"/>
      <c r="B18" s="68">
        <v>11</v>
      </c>
      <c r="C18" s="76" t="s">
        <v>73</v>
      </c>
      <c r="D18" s="23" t="s">
        <v>37</v>
      </c>
      <c r="E18" s="61" t="e">
        <f t="shared" si="0"/>
        <v>#REF!</v>
      </c>
      <c r="F18" s="61" t="e">
        <f t="shared" si="1"/>
        <v>#REF!</v>
      </c>
      <c r="G18" s="61" t="e">
        <f t="shared" si="2"/>
        <v>#REF!</v>
      </c>
      <c r="H18" s="16" t="e">
        <f t="shared" si="3"/>
        <v>#REF!</v>
      </c>
      <c r="I18" s="16"/>
      <c r="J18" s="16"/>
      <c r="K18" s="16"/>
      <c r="L18" s="34"/>
    </row>
    <row r="19" spans="1:12" x14ac:dyDescent="0.2">
      <c r="A19" s="42"/>
      <c r="B19" s="68">
        <v>12</v>
      </c>
      <c r="C19" s="76" t="s">
        <v>74</v>
      </c>
      <c r="D19" s="23" t="s">
        <v>37</v>
      </c>
      <c r="E19" s="61" t="e">
        <f t="shared" si="0"/>
        <v>#REF!</v>
      </c>
      <c r="F19" s="61" t="e">
        <f t="shared" si="1"/>
        <v>#REF!</v>
      </c>
      <c r="G19" s="61" t="e">
        <f t="shared" si="2"/>
        <v>#REF!</v>
      </c>
      <c r="H19" s="16" t="e">
        <f t="shared" si="3"/>
        <v>#REF!</v>
      </c>
      <c r="I19" s="16"/>
      <c r="J19" s="16"/>
      <c r="K19" s="16"/>
      <c r="L19" s="34"/>
    </row>
    <row r="20" spans="1:12" x14ac:dyDescent="0.2">
      <c r="A20" s="42"/>
      <c r="B20" s="62"/>
      <c r="C20" s="63"/>
      <c r="D20" s="63"/>
      <c r="E20" s="63"/>
      <c r="F20" s="64"/>
      <c r="G20" s="64"/>
      <c r="H20" s="65"/>
      <c r="I20" s="65"/>
      <c r="J20" s="65"/>
      <c r="K20" s="65"/>
      <c r="L20" s="66"/>
    </row>
    <row r="21" spans="1:12" x14ac:dyDescent="0.2">
      <c r="A21" s="42"/>
      <c r="B21" s="108" t="s">
        <v>38</v>
      </c>
      <c r="C21" s="109"/>
      <c r="D21" s="109"/>
      <c r="E21" s="109"/>
      <c r="F21" s="109"/>
      <c r="G21" s="109"/>
      <c r="H21" s="59"/>
      <c r="I21" s="59"/>
      <c r="J21" s="59"/>
      <c r="K21" s="59"/>
      <c r="L21" s="72">
        <f>SUM(L8:L19)</f>
        <v>0</v>
      </c>
    </row>
  </sheetData>
  <mergeCells count="3">
    <mergeCell ref="B4:L4"/>
    <mergeCell ref="B5:L5"/>
    <mergeCell ref="B21:G2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7"/>
  <sheetViews>
    <sheetView workbookViewId="0">
      <selection activeCell="F1" sqref="F1:F2"/>
    </sheetView>
  </sheetViews>
  <sheetFormatPr baseColWidth="10" defaultRowHeight="12.75" x14ac:dyDescent="0.2"/>
  <cols>
    <col min="2" max="2" width="15.140625" customWidth="1"/>
    <col min="3" max="3" width="18.140625" bestFit="1" customWidth="1"/>
    <col min="6" max="6" width="10.140625" bestFit="1" customWidth="1"/>
    <col min="7" max="7" width="7" bestFit="1" customWidth="1"/>
    <col min="8" max="22" width="6.7109375" customWidth="1"/>
    <col min="23" max="23" width="7.42578125" style="17" customWidth="1"/>
    <col min="24" max="25" width="7.42578125" customWidth="1"/>
    <col min="26" max="26" width="6.7109375" customWidth="1"/>
  </cols>
  <sheetData>
    <row r="1" spans="1:24" x14ac:dyDescent="0.2">
      <c r="A1" s="43" t="s">
        <v>95</v>
      </c>
      <c r="B1" s="44"/>
    </row>
    <row r="2" spans="1:24" x14ac:dyDescent="0.2">
      <c r="A2" s="43" t="s">
        <v>94</v>
      </c>
      <c r="B2" s="44"/>
    </row>
    <row r="4" spans="1:24" ht="15" x14ac:dyDescent="0.2">
      <c r="A4" s="111"/>
      <c r="B4" s="111"/>
      <c r="C4" s="111"/>
      <c r="D4" s="111"/>
      <c r="E4" s="111"/>
      <c r="F4" s="111"/>
      <c r="G4" s="111"/>
      <c r="H4" s="111"/>
      <c r="I4" s="111"/>
      <c r="J4" s="111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</row>
    <row r="9" spans="1:24" x14ac:dyDescent="0.2">
      <c r="A9" s="110" t="s">
        <v>27</v>
      </c>
      <c r="B9" s="110"/>
      <c r="C9" s="110"/>
      <c r="D9" s="110"/>
      <c r="E9" s="110"/>
      <c r="F9" s="47"/>
      <c r="G9" s="47"/>
      <c r="H9" s="47"/>
      <c r="I9" s="110" t="s">
        <v>44</v>
      </c>
      <c r="J9" s="110"/>
      <c r="K9" s="110" t="s">
        <v>45</v>
      </c>
      <c r="L9" s="110"/>
      <c r="M9" s="110" t="s">
        <v>46</v>
      </c>
      <c r="N9" s="110"/>
      <c r="O9" s="110" t="s">
        <v>85</v>
      </c>
      <c r="P9" s="110"/>
      <c r="Q9" s="110" t="s">
        <v>89</v>
      </c>
      <c r="R9" s="110"/>
      <c r="S9" s="110" t="s">
        <v>90</v>
      </c>
      <c r="T9" s="110"/>
      <c r="U9" s="47"/>
      <c r="V9" s="47"/>
      <c r="W9" s="48" t="s">
        <v>32</v>
      </c>
      <c r="X9" s="49"/>
    </row>
    <row r="10" spans="1:24" ht="25.5" x14ac:dyDescent="0.2">
      <c r="A10" s="50" t="s">
        <v>6</v>
      </c>
      <c r="B10" s="50" t="s">
        <v>1</v>
      </c>
      <c r="C10" s="50" t="s">
        <v>7</v>
      </c>
      <c r="D10" s="47" t="s">
        <v>3</v>
      </c>
      <c r="E10" s="47" t="s">
        <v>28</v>
      </c>
      <c r="F10" s="47" t="s">
        <v>39</v>
      </c>
      <c r="G10" s="47" t="s">
        <v>40</v>
      </c>
      <c r="H10" s="47" t="s">
        <v>41</v>
      </c>
      <c r="I10" s="47" t="s">
        <v>42</v>
      </c>
      <c r="J10" s="47" t="s">
        <v>43</v>
      </c>
      <c r="K10" s="47" t="s">
        <v>42</v>
      </c>
      <c r="L10" s="47" t="s">
        <v>43</v>
      </c>
      <c r="M10" s="47" t="s">
        <v>42</v>
      </c>
      <c r="N10" s="47" t="s">
        <v>43</v>
      </c>
      <c r="O10" s="47" t="s">
        <v>42</v>
      </c>
      <c r="P10" s="47" t="s">
        <v>43</v>
      </c>
      <c r="Q10" s="47" t="s">
        <v>42</v>
      </c>
      <c r="R10" s="47" t="s">
        <v>43</v>
      </c>
      <c r="S10" s="47" t="s">
        <v>42</v>
      </c>
      <c r="T10" s="47" t="s">
        <v>43</v>
      </c>
      <c r="U10" s="47"/>
      <c r="V10" s="47"/>
      <c r="W10" s="48" t="s">
        <v>47</v>
      </c>
      <c r="X10" s="47" t="s">
        <v>48</v>
      </c>
    </row>
    <row r="11" spans="1:24" x14ac:dyDescent="0.2">
      <c r="A11" s="76" t="s">
        <v>21</v>
      </c>
      <c r="B11" s="25" t="e">
        <f t="shared" ref="B11:B22" si="0">IF(A11&lt;&gt;"",VLOOKUP(A11,DATAG,2,0),"")</f>
        <v>#REF!</v>
      </c>
      <c r="C11" s="25" t="e">
        <f t="shared" ref="C11:C22" si="1">IF(A11&lt;&gt;"",VLOOKUP(A11,DATAG,3,0),"")</f>
        <v>#REF!</v>
      </c>
      <c r="D11" s="26" t="e">
        <f t="shared" ref="D11:D22" si="2">IF(A11&lt;&gt;"",VLOOKUP(A11,DATAG,4,0),"")</f>
        <v>#REF!</v>
      </c>
      <c r="E11" s="30" t="e">
        <f t="shared" ref="E11:E22" si="3">IF(A11&lt;&gt;"",VLOOKUP(A11,DATAG,23,0),"")</f>
        <v>#REF!</v>
      </c>
      <c r="W11" s="17">
        <f>SUM(I11:V11)</f>
        <v>0</v>
      </c>
      <c r="X11" s="46">
        <f>+G11-W11</f>
        <v>0</v>
      </c>
    </row>
    <row r="12" spans="1:24" x14ac:dyDescent="0.2">
      <c r="A12" s="77" t="s">
        <v>22</v>
      </c>
      <c r="B12" s="25" t="e">
        <f t="shared" si="0"/>
        <v>#REF!</v>
      </c>
      <c r="C12" s="25" t="e">
        <f t="shared" si="1"/>
        <v>#REF!</v>
      </c>
      <c r="D12" s="26" t="e">
        <f t="shared" si="2"/>
        <v>#REF!</v>
      </c>
      <c r="E12" s="30" t="e">
        <f t="shared" si="3"/>
        <v>#REF!</v>
      </c>
      <c r="W12" s="17">
        <f t="shared" ref="W12:W22" si="4">SUM(I12:V12)</f>
        <v>0</v>
      </c>
      <c r="X12" s="46">
        <f t="shared" ref="X12:X22" si="5">+G12-W12</f>
        <v>0</v>
      </c>
    </row>
    <row r="13" spans="1:24" x14ac:dyDescent="0.2">
      <c r="A13" s="77" t="s">
        <v>67</v>
      </c>
      <c r="B13" s="25" t="e">
        <f t="shared" si="0"/>
        <v>#REF!</v>
      </c>
      <c r="C13" s="25" t="e">
        <f t="shared" si="1"/>
        <v>#REF!</v>
      </c>
      <c r="D13" s="26" t="e">
        <f t="shared" si="2"/>
        <v>#REF!</v>
      </c>
      <c r="E13" s="30" t="e">
        <f t="shared" si="3"/>
        <v>#REF!</v>
      </c>
      <c r="W13" s="17">
        <f t="shared" si="4"/>
        <v>0</v>
      </c>
      <c r="X13" s="46">
        <f t="shared" si="5"/>
        <v>0</v>
      </c>
    </row>
    <row r="14" spans="1:24" x14ac:dyDescent="0.2">
      <c r="A14" s="77" t="s">
        <v>68</v>
      </c>
      <c r="B14" s="25" t="e">
        <f t="shared" si="0"/>
        <v>#REF!</v>
      </c>
      <c r="C14" s="25" t="e">
        <f t="shared" si="1"/>
        <v>#REF!</v>
      </c>
      <c r="D14" s="26" t="e">
        <f t="shared" si="2"/>
        <v>#REF!</v>
      </c>
      <c r="E14" s="30" t="e">
        <f t="shared" si="3"/>
        <v>#REF!</v>
      </c>
      <c r="W14" s="17">
        <f t="shared" si="4"/>
        <v>0</v>
      </c>
      <c r="X14" s="46">
        <f t="shared" si="5"/>
        <v>0</v>
      </c>
    </row>
    <row r="15" spans="1:24" x14ac:dyDescent="0.2">
      <c r="A15" s="77" t="s">
        <v>23</v>
      </c>
      <c r="B15" s="25" t="e">
        <f t="shared" si="0"/>
        <v>#REF!</v>
      </c>
      <c r="C15" s="25" t="e">
        <f t="shared" si="1"/>
        <v>#REF!</v>
      </c>
      <c r="D15" s="26" t="e">
        <f t="shared" si="2"/>
        <v>#REF!</v>
      </c>
      <c r="E15" s="30" t="e">
        <f t="shared" si="3"/>
        <v>#REF!</v>
      </c>
      <c r="F15" s="54">
        <v>45768</v>
      </c>
      <c r="G15">
        <v>150</v>
      </c>
      <c r="H15">
        <v>3</v>
      </c>
      <c r="Q15" s="88">
        <v>50</v>
      </c>
      <c r="R15" s="88">
        <v>50</v>
      </c>
      <c r="S15" s="88"/>
      <c r="W15" s="17">
        <f t="shared" si="4"/>
        <v>100</v>
      </c>
      <c r="X15" s="46">
        <f t="shared" si="5"/>
        <v>50</v>
      </c>
    </row>
    <row r="16" spans="1:24" x14ac:dyDescent="0.2">
      <c r="A16" s="77" t="s">
        <v>69</v>
      </c>
      <c r="B16" s="25" t="e">
        <f t="shared" si="0"/>
        <v>#REF!</v>
      </c>
      <c r="C16" s="25" t="e">
        <f t="shared" si="1"/>
        <v>#REF!</v>
      </c>
      <c r="D16" s="26" t="e">
        <f t="shared" si="2"/>
        <v>#REF!</v>
      </c>
      <c r="E16" s="30" t="e">
        <f t="shared" si="3"/>
        <v>#REF!</v>
      </c>
      <c r="W16" s="17">
        <f t="shared" si="4"/>
        <v>0</v>
      </c>
      <c r="X16" s="46">
        <f t="shared" si="5"/>
        <v>0</v>
      </c>
    </row>
    <row r="17" spans="1:24" x14ac:dyDescent="0.2">
      <c r="A17" s="77" t="s">
        <v>70</v>
      </c>
      <c r="B17" s="25" t="e">
        <f t="shared" si="0"/>
        <v>#REF!</v>
      </c>
      <c r="C17" s="25" t="e">
        <f t="shared" si="1"/>
        <v>#REF!</v>
      </c>
      <c r="D17" s="26" t="e">
        <f t="shared" si="2"/>
        <v>#REF!</v>
      </c>
      <c r="E17" s="30" t="e">
        <f t="shared" si="3"/>
        <v>#REF!</v>
      </c>
      <c r="W17" s="17">
        <f t="shared" si="4"/>
        <v>0</v>
      </c>
      <c r="X17" s="46">
        <f t="shared" si="5"/>
        <v>0</v>
      </c>
    </row>
    <row r="18" spans="1:24" x14ac:dyDescent="0.2">
      <c r="A18" s="77" t="s">
        <v>24</v>
      </c>
      <c r="B18" s="25" t="e">
        <f t="shared" si="0"/>
        <v>#REF!</v>
      </c>
      <c r="C18" s="25" t="e">
        <f t="shared" si="1"/>
        <v>#REF!</v>
      </c>
      <c r="D18" s="26" t="e">
        <f t="shared" si="2"/>
        <v>#REF!</v>
      </c>
      <c r="E18" s="30" t="e">
        <f t="shared" si="3"/>
        <v>#REF!</v>
      </c>
      <c r="W18" s="17">
        <f t="shared" si="4"/>
        <v>0</v>
      </c>
      <c r="X18" s="46">
        <f t="shared" si="5"/>
        <v>0</v>
      </c>
    </row>
    <row r="19" spans="1:24" x14ac:dyDescent="0.2">
      <c r="A19" s="77" t="s">
        <v>71</v>
      </c>
      <c r="B19" s="25" t="e">
        <f t="shared" si="0"/>
        <v>#REF!</v>
      </c>
      <c r="C19" s="25" t="e">
        <f t="shared" si="1"/>
        <v>#REF!</v>
      </c>
      <c r="D19" s="26" t="e">
        <f t="shared" si="2"/>
        <v>#REF!</v>
      </c>
      <c r="E19" s="30" t="e">
        <f t="shared" si="3"/>
        <v>#REF!</v>
      </c>
      <c r="F19" s="54">
        <v>45757</v>
      </c>
      <c r="R19">
        <v>50</v>
      </c>
      <c r="W19" s="17">
        <f t="shared" si="4"/>
        <v>50</v>
      </c>
      <c r="X19" s="46">
        <f t="shared" si="5"/>
        <v>-50</v>
      </c>
    </row>
    <row r="20" spans="1:24" x14ac:dyDescent="0.2">
      <c r="A20" s="77" t="s">
        <v>72</v>
      </c>
      <c r="B20" s="25" t="e">
        <f t="shared" si="0"/>
        <v>#REF!</v>
      </c>
      <c r="C20" s="25" t="e">
        <f t="shared" si="1"/>
        <v>#REF!</v>
      </c>
      <c r="D20" s="26" t="e">
        <f t="shared" si="2"/>
        <v>#REF!</v>
      </c>
      <c r="E20" s="30" t="e">
        <f t="shared" si="3"/>
        <v>#REF!</v>
      </c>
      <c r="W20" s="17">
        <f t="shared" si="4"/>
        <v>0</v>
      </c>
      <c r="X20" s="46">
        <f t="shared" si="5"/>
        <v>0</v>
      </c>
    </row>
    <row r="21" spans="1:24" x14ac:dyDescent="0.2">
      <c r="A21" s="77" t="s">
        <v>73</v>
      </c>
      <c r="B21" s="25" t="e">
        <f t="shared" si="0"/>
        <v>#REF!</v>
      </c>
      <c r="C21" s="25" t="e">
        <f t="shared" si="1"/>
        <v>#REF!</v>
      </c>
      <c r="D21" s="26" t="e">
        <f t="shared" si="2"/>
        <v>#REF!</v>
      </c>
      <c r="E21" s="30" t="e">
        <f t="shared" si="3"/>
        <v>#REF!</v>
      </c>
      <c r="W21" s="17">
        <f t="shared" si="4"/>
        <v>0</v>
      </c>
      <c r="X21" s="46">
        <f t="shared" si="5"/>
        <v>0</v>
      </c>
    </row>
    <row r="22" spans="1:24" x14ac:dyDescent="0.2">
      <c r="A22" s="77" t="s">
        <v>74</v>
      </c>
      <c r="B22" s="25" t="e">
        <f t="shared" si="0"/>
        <v>#REF!</v>
      </c>
      <c r="C22" s="25" t="e">
        <f t="shared" si="1"/>
        <v>#REF!</v>
      </c>
      <c r="D22" s="26" t="e">
        <f t="shared" si="2"/>
        <v>#REF!</v>
      </c>
      <c r="E22" s="30" t="e">
        <f t="shared" si="3"/>
        <v>#REF!</v>
      </c>
      <c r="W22" s="17">
        <f t="shared" si="4"/>
        <v>0</v>
      </c>
      <c r="X22" s="46">
        <f t="shared" si="5"/>
        <v>0</v>
      </c>
    </row>
    <row r="24" spans="1:24" x14ac:dyDescent="0.2">
      <c r="C24" t="s">
        <v>75</v>
      </c>
      <c r="D24" s="86">
        <v>45658</v>
      </c>
    </row>
    <row r="25" spans="1:24" x14ac:dyDescent="0.2">
      <c r="C25" t="s">
        <v>88</v>
      </c>
      <c r="D25">
        <v>500</v>
      </c>
    </row>
    <row r="26" spans="1:24" x14ac:dyDescent="0.2">
      <c r="C26" t="s">
        <v>41</v>
      </c>
      <c r="D26">
        <v>5</v>
      </c>
    </row>
    <row r="27" spans="1:24" x14ac:dyDescent="0.2">
      <c r="C27" t="s">
        <v>87</v>
      </c>
      <c r="D27" s="86">
        <v>45673</v>
      </c>
    </row>
  </sheetData>
  <mergeCells count="8">
    <mergeCell ref="S9:T9"/>
    <mergeCell ref="M9:N9"/>
    <mergeCell ref="A9:E9"/>
    <mergeCell ref="A4:J4"/>
    <mergeCell ref="I9:J9"/>
    <mergeCell ref="K9:L9"/>
    <mergeCell ref="O9:P9"/>
    <mergeCell ref="Q9:R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7</vt:i4>
      </vt:variant>
    </vt:vector>
  </HeadingPairs>
  <TitlesOfParts>
    <vt:vector size="14" baseType="lpstr">
      <vt:lpstr>PLANILLA</vt:lpstr>
      <vt:lpstr>COMISIONES</vt:lpstr>
      <vt:lpstr>DESCANZO MEDICO</vt:lpstr>
      <vt:lpstr>VACACIONES</vt:lpstr>
      <vt:lpstr>ADELANTOS</vt:lpstr>
      <vt:lpstr>REINTEGROS</vt:lpstr>
      <vt:lpstr>PRESTAMOS</vt:lpstr>
      <vt:lpstr>ADELANTOS</vt:lpstr>
      <vt:lpstr>ADELANTOS!Área_de_impresión</vt:lpstr>
      <vt:lpstr>PLANILLA!Área_de_impresión</vt:lpstr>
      <vt:lpstr>COMISIONES</vt:lpstr>
      <vt:lpstr>D_MEDICOS</vt:lpstr>
      <vt:lpstr>REINTEGROS</vt:lpstr>
      <vt:lpstr>VACACIONES!VACACIONES</vt:lpstr>
    </vt:vector>
  </TitlesOfParts>
  <Manager>EXCEL NEGOCIOS</Manager>
  <Company>EXCEL NEGOCIOS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de Remuneraciones (Incluye boletas de pago)</dc:title>
  <dc:creator>Contabilidad</dc:creator>
  <cp:keywords>Planilla de remuneraciones, boletas de pago</cp:keywords>
  <dc:description>Modelo de planilla para generar boletas de pago</dc:description>
  <cp:lastModifiedBy>Nicol N</cp:lastModifiedBy>
  <cp:revision/>
  <cp:lastPrinted>2025-10-31T21:24:41Z</cp:lastPrinted>
  <dcterms:created xsi:type="dcterms:W3CDTF">2006-07-01T16:15:37Z</dcterms:created>
  <dcterms:modified xsi:type="dcterms:W3CDTF">2025-11-20T20:32:27Z</dcterms:modified>
  <cp:category>Contabilidad</cp:category>
</cp:coreProperties>
</file>